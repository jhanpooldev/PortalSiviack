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hidePivotFieldList="1" defaultThemeVersion="124226"/>
  <mc:AlternateContent xmlns:mc="http://schemas.openxmlformats.org/markup-compatibility/2006">
    <mc:Choice Requires="x15">
      <x15ac:absPath xmlns:x15ac="http://schemas.microsoft.com/office/spreadsheetml/2010/11/ac" url="C:\SIVIACK_Portal\"/>
    </mc:Choice>
  </mc:AlternateContent>
  <xr:revisionPtr revIDLastSave="0" documentId="8_{50C27A17-58C6-4A40-A666-2958D603B4B7}" xr6:coauthVersionLast="47" xr6:coauthVersionMax="47" xr10:uidLastSave="{00000000-0000-0000-0000-000000000000}"/>
  <bookViews>
    <workbookView xWindow="-108" yWindow="-108" windowWidth="23256" windowHeight="12456" activeTab="1" xr2:uid="{00000000-000D-0000-FFFF-FFFF00000000}"/>
  </bookViews>
  <sheets>
    <sheet name="VALOR" sheetId="6" r:id="rId1"/>
    <sheet name="GESTIÓN SCP" sheetId="5" r:id="rId2"/>
    <sheet name="Hoja1" sheetId="24" state="hidden" r:id="rId3"/>
  </sheets>
  <definedNames>
    <definedName name="_xlnm._FilterDatabase" localSheetId="1" hidden="1">'GESTIÓN SCP'!$A$4:$AE$409</definedName>
    <definedName name="Control" comment="Control de Resultados">VALOR!$U$3:$U$7</definedName>
    <definedName name="DIA" comment="Dpto. de Ingeniería Administrativa">VALOR!$G$3:$G$5</definedName>
    <definedName name="DIE" comment="Dpto. de Ingeniería Especializada">VALOR!$I$3:$I$5</definedName>
    <definedName name="DIN" comment="Dpto. de Ingeniería de Negocios">VALOR!$H$3:$H$7</definedName>
    <definedName name="Formato" comment="Formato de control">VALOR!$B$3:$B$7</definedName>
    <definedName name="GG" comment="Gerencia General">VALOR!$E$3:$E$6</definedName>
    <definedName name="GO" comment="Gerencia de Operaciones">VALOR!$F$3:$F$6</definedName>
    <definedName name="Intervención" comment="Tipo de Intervención">VALOR!$T$3:$T$10</definedName>
    <definedName name="Proceso" comment="Procesos Estartégicos">VALOR!$D$3:$D$9</definedName>
    <definedName name="Servicio" comment="Tipo de Servicios">VALOR!$S$3:$S$9</definedName>
    <definedName name="Tipo" comment="Tipo de Documento ">VALOR!$C$3:$C$12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06" i="5" l="1"/>
  <c r="B407" i="5"/>
  <c r="B408" i="5"/>
  <c r="B409" i="5"/>
  <c r="H406" i="5"/>
  <c r="H407" i="5"/>
  <c r="H408" i="5"/>
  <c r="H409" i="5"/>
  <c r="V409" i="5"/>
  <c r="T409" i="5" s="1"/>
  <c r="AB404" i="5"/>
  <c r="AB405" i="5"/>
  <c r="AB406" i="5"/>
  <c r="AB407" i="5"/>
  <c r="AB408" i="5"/>
  <c r="AB409" i="5"/>
  <c r="AC408" i="5"/>
  <c r="AC409" i="5"/>
  <c r="R404" i="5"/>
  <c r="V404" i="5" s="1"/>
  <c r="R405" i="5"/>
  <c r="V405" i="5" s="1"/>
  <c r="R406" i="5"/>
  <c r="V406" i="5" s="1"/>
  <c r="R407" i="5"/>
  <c r="V407" i="5" s="1"/>
  <c r="R408" i="5"/>
  <c r="V408" i="5" s="1"/>
  <c r="R409" i="5"/>
  <c r="R400" i="5"/>
  <c r="V400" i="5" s="1"/>
  <c r="R401" i="5"/>
  <c r="V401" i="5" s="1"/>
  <c r="R402" i="5"/>
  <c r="V402" i="5" s="1"/>
  <c r="R403" i="5"/>
  <c r="V403" i="5" s="1"/>
  <c r="R364" i="5"/>
  <c r="AB400" i="5"/>
  <c r="AB401" i="5"/>
  <c r="AB402" i="5"/>
  <c r="AB403" i="5"/>
  <c r="H403" i="5" l="1"/>
  <c r="T403" i="5"/>
  <c r="T401" i="5"/>
  <c r="H401" i="5" s="1"/>
  <c r="T402" i="5"/>
  <c r="H402" i="5" s="1"/>
  <c r="T405" i="5"/>
  <c r="H405" i="5" s="1"/>
  <c r="T404" i="5"/>
  <c r="H404" i="5" s="1"/>
  <c r="T408" i="5"/>
  <c r="T400" i="5"/>
  <c r="H400" i="5" s="1"/>
  <c r="T407" i="5"/>
  <c r="T406" i="5"/>
  <c r="AB317" i="5" l="1"/>
  <c r="AB318" i="5"/>
  <c r="AB319" i="5"/>
  <c r="AB320" i="5"/>
  <c r="AB321" i="5"/>
  <c r="AB322" i="5"/>
  <c r="AB323" i="5"/>
  <c r="AB324" i="5"/>
  <c r="AB325" i="5"/>
  <c r="AB326" i="5"/>
  <c r="AB327" i="5"/>
  <c r="AB328" i="5"/>
  <c r="AB329" i="5"/>
  <c r="AB330" i="5"/>
  <c r="AB331" i="5"/>
  <c r="AB332" i="5"/>
  <c r="AB333" i="5"/>
  <c r="AB334" i="5"/>
  <c r="AB335" i="5"/>
  <c r="AB336" i="5"/>
  <c r="AB337" i="5"/>
  <c r="AB338" i="5"/>
  <c r="AB339" i="5"/>
  <c r="AB340" i="5"/>
  <c r="AB341" i="5"/>
  <c r="AB342" i="5"/>
  <c r="AB343" i="5"/>
  <c r="AB344" i="5"/>
  <c r="AB345" i="5"/>
  <c r="AB346" i="5"/>
  <c r="AB347" i="5"/>
  <c r="AB348" i="5"/>
  <c r="AB349" i="5"/>
  <c r="AB350" i="5"/>
  <c r="AB351" i="5"/>
  <c r="AB352" i="5"/>
  <c r="AB353" i="5"/>
  <c r="AB354" i="5"/>
  <c r="AB355" i="5"/>
  <c r="AB356" i="5"/>
  <c r="AB357" i="5"/>
  <c r="AB358" i="5"/>
  <c r="AB359" i="5"/>
  <c r="AB360" i="5"/>
  <c r="AB361" i="5"/>
  <c r="AB362" i="5"/>
  <c r="AB363" i="5"/>
  <c r="AB364" i="5"/>
  <c r="AB365" i="5"/>
  <c r="AB366" i="5"/>
  <c r="AB367" i="5"/>
  <c r="AB368" i="5"/>
  <c r="AB369" i="5"/>
  <c r="AB370" i="5"/>
  <c r="AB371" i="5"/>
  <c r="AB372" i="5"/>
  <c r="AB373" i="5"/>
  <c r="AB374" i="5"/>
  <c r="AB375" i="5"/>
  <c r="AB376" i="5"/>
  <c r="AB377" i="5"/>
  <c r="AB378" i="5"/>
  <c r="AB379" i="5"/>
  <c r="AB380" i="5"/>
  <c r="AB381" i="5"/>
  <c r="AB382" i="5"/>
  <c r="AB383" i="5"/>
  <c r="AB384" i="5"/>
  <c r="AB385" i="5"/>
  <c r="AB386" i="5"/>
  <c r="AB387" i="5"/>
  <c r="AB388" i="5"/>
  <c r="AB389" i="5"/>
  <c r="AB390" i="5"/>
  <c r="AB391" i="5"/>
  <c r="AB392" i="5"/>
  <c r="AB393" i="5"/>
  <c r="AB394" i="5"/>
  <c r="AB395" i="5"/>
  <c r="AB396" i="5"/>
  <c r="AB397" i="5"/>
  <c r="AB398" i="5"/>
  <c r="AB399" i="5"/>
  <c r="R335" i="5"/>
  <c r="V335" i="5" s="1"/>
  <c r="R336" i="5"/>
  <c r="V336" i="5" s="1"/>
  <c r="R337" i="5"/>
  <c r="V337" i="5" s="1"/>
  <c r="R338" i="5"/>
  <c r="V338" i="5" s="1"/>
  <c r="R339" i="5"/>
  <c r="V339" i="5" s="1"/>
  <c r="R340" i="5"/>
  <c r="V340" i="5" s="1"/>
  <c r="R341" i="5"/>
  <c r="V341" i="5" s="1"/>
  <c r="R342" i="5"/>
  <c r="V342" i="5" s="1"/>
  <c r="R343" i="5"/>
  <c r="V343" i="5" s="1"/>
  <c r="R344" i="5"/>
  <c r="V344" i="5" s="1"/>
  <c r="R345" i="5"/>
  <c r="V345" i="5" s="1"/>
  <c r="R346" i="5"/>
  <c r="V346" i="5" s="1"/>
  <c r="R347" i="5"/>
  <c r="V347" i="5" s="1"/>
  <c r="R348" i="5"/>
  <c r="V348" i="5" s="1"/>
  <c r="R349" i="5"/>
  <c r="V349" i="5" s="1"/>
  <c r="R350" i="5"/>
  <c r="V350" i="5" s="1"/>
  <c r="R351" i="5"/>
  <c r="V351" i="5" s="1"/>
  <c r="R352" i="5"/>
  <c r="V352" i="5" s="1"/>
  <c r="R353" i="5"/>
  <c r="V353" i="5" s="1"/>
  <c r="R354" i="5"/>
  <c r="V354" i="5" s="1"/>
  <c r="R355" i="5"/>
  <c r="V355" i="5" s="1"/>
  <c r="R356" i="5"/>
  <c r="V356" i="5" s="1"/>
  <c r="R357" i="5"/>
  <c r="V357" i="5" s="1"/>
  <c r="R358" i="5"/>
  <c r="V358" i="5" s="1"/>
  <c r="R359" i="5"/>
  <c r="V359" i="5" s="1"/>
  <c r="R360" i="5"/>
  <c r="V360" i="5" s="1"/>
  <c r="R361" i="5"/>
  <c r="V361" i="5" s="1"/>
  <c r="R362" i="5"/>
  <c r="V362" i="5" s="1"/>
  <c r="R363" i="5"/>
  <c r="V363" i="5" s="1"/>
  <c r="V364" i="5"/>
  <c r="R365" i="5"/>
  <c r="V365" i="5" s="1"/>
  <c r="R366" i="5"/>
  <c r="V366" i="5" s="1"/>
  <c r="R367" i="5"/>
  <c r="V367" i="5" s="1"/>
  <c r="R368" i="5"/>
  <c r="V368" i="5" s="1"/>
  <c r="R369" i="5"/>
  <c r="V369" i="5" s="1"/>
  <c r="R370" i="5"/>
  <c r="V370" i="5" s="1"/>
  <c r="R371" i="5"/>
  <c r="V371" i="5" s="1"/>
  <c r="R372" i="5"/>
  <c r="V372" i="5" s="1"/>
  <c r="R373" i="5"/>
  <c r="V373" i="5" s="1"/>
  <c r="R374" i="5"/>
  <c r="V374" i="5" s="1"/>
  <c r="R375" i="5"/>
  <c r="V375" i="5" s="1"/>
  <c r="R376" i="5"/>
  <c r="V376" i="5" s="1"/>
  <c r="R377" i="5"/>
  <c r="V377" i="5" s="1"/>
  <c r="R378" i="5"/>
  <c r="V378" i="5" s="1"/>
  <c r="R379" i="5"/>
  <c r="V379" i="5" s="1"/>
  <c r="R380" i="5"/>
  <c r="V380" i="5" s="1"/>
  <c r="R381" i="5"/>
  <c r="V381" i="5" s="1"/>
  <c r="R382" i="5"/>
  <c r="V382" i="5" s="1"/>
  <c r="R383" i="5"/>
  <c r="V383" i="5" s="1"/>
  <c r="R384" i="5"/>
  <c r="V384" i="5" s="1"/>
  <c r="R385" i="5"/>
  <c r="V385" i="5" s="1"/>
  <c r="R386" i="5"/>
  <c r="V386" i="5" s="1"/>
  <c r="R387" i="5"/>
  <c r="V387" i="5" s="1"/>
  <c r="R388" i="5"/>
  <c r="V388" i="5" s="1"/>
  <c r="R389" i="5"/>
  <c r="V389" i="5" s="1"/>
  <c r="R390" i="5"/>
  <c r="V390" i="5" s="1"/>
  <c r="R391" i="5"/>
  <c r="V391" i="5" s="1"/>
  <c r="R392" i="5"/>
  <c r="V392" i="5" s="1"/>
  <c r="R393" i="5"/>
  <c r="V393" i="5" s="1"/>
  <c r="R394" i="5"/>
  <c r="V394" i="5" s="1"/>
  <c r="R395" i="5"/>
  <c r="V395" i="5" s="1"/>
  <c r="R396" i="5"/>
  <c r="V396" i="5" s="1"/>
  <c r="R397" i="5"/>
  <c r="V397" i="5" s="1"/>
  <c r="R398" i="5"/>
  <c r="V398" i="5" s="1"/>
  <c r="R399" i="5"/>
  <c r="V399" i="5" s="1"/>
  <c r="H353" i="5" l="1"/>
  <c r="T370" i="5"/>
  <c r="H370" i="5" s="1"/>
  <c r="T362" i="5"/>
  <c r="H362" i="5" s="1"/>
  <c r="T354" i="5"/>
  <c r="H354" i="5" s="1"/>
  <c r="T394" i="5"/>
  <c r="H394" i="5" s="1"/>
  <c r="T386" i="5"/>
  <c r="H386" i="5" s="1"/>
  <c r="T378" i="5"/>
  <c r="H378" i="5" s="1"/>
  <c r="T346" i="5"/>
  <c r="H346" i="5" s="1"/>
  <c r="T387" i="5"/>
  <c r="H387" i="5" s="1"/>
  <c r="T397" i="5"/>
  <c r="H397" i="5" s="1"/>
  <c r="T381" i="5"/>
  <c r="H381" i="5" s="1"/>
  <c r="T365" i="5"/>
  <c r="H365" i="5" s="1"/>
  <c r="T357" i="5"/>
  <c r="H357" i="5" s="1"/>
  <c r="T349" i="5"/>
  <c r="H349" i="5" s="1"/>
  <c r="T341" i="5"/>
  <c r="H341" i="5" s="1"/>
  <c r="T389" i="5"/>
  <c r="H389" i="5" s="1"/>
  <c r="T373" i="5"/>
  <c r="H373" i="5" s="1"/>
  <c r="T396" i="5"/>
  <c r="H396" i="5" s="1"/>
  <c r="T388" i="5"/>
  <c r="H388" i="5" s="1"/>
  <c r="T380" i="5"/>
  <c r="H380" i="5" s="1"/>
  <c r="T372" i="5"/>
  <c r="H372" i="5" s="1"/>
  <c r="T364" i="5"/>
  <c r="H364" i="5" s="1"/>
  <c r="T356" i="5"/>
  <c r="H356" i="5" s="1"/>
  <c r="T348" i="5"/>
  <c r="H348" i="5" s="1"/>
  <c r="T340" i="5"/>
  <c r="H340" i="5" s="1"/>
  <c r="T392" i="5"/>
  <c r="H392" i="5" s="1"/>
  <c r="T384" i="5"/>
  <c r="H384" i="5" s="1"/>
  <c r="T376" i="5"/>
  <c r="H376" i="5" s="1"/>
  <c r="T368" i="5"/>
  <c r="H368" i="5" s="1"/>
  <c r="T360" i="5"/>
  <c r="H360" i="5" s="1"/>
  <c r="T352" i="5"/>
  <c r="H352" i="5" s="1"/>
  <c r="T344" i="5"/>
  <c r="H344" i="5" s="1"/>
  <c r="T336" i="5"/>
  <c r="H336" i="5" s="1"/>
  <c r="T395" i="5"/>
  <c r="H395" i="5" s="1"/>
  <c r="T338" i="5"/>
  <c r="H338" i="5" s="1"/>
  <c r="T379" i="5"/>
  <c r="H379" i="5" s="1"/>
  <c r="T393" i="5"/>
  <c r="H393" i="5" s="1"/>
  <c r="T385" i="5"/>
  <c r="H385" i="5" s="1"/>
  <c r="T377" i="5"/>
  <c r="H377" i="5" s="1"/>
  <c r="T369" i="5"/>
  <c r="H369" i="5" s="1"/>
  <c r="T361" i="5"/>
  <c r="H361" i="5" s="1"/>
  <c r="T353" i="5"/>
  <c r="T345" i="5"/>
  <c r="H345" i="5" s="1"/>
  <c r="T337" i="5"/>
  <c r="H337" i="5" s="1"/>
  <c r="T398" i="5"/>
  <c r="H398" i="5" s="1"/>
  <c r="T390" i="5"/>
  <c r="H390" i="5" s="1"/>
  <c r="T382" i="5"/>
  <c r="H382" i="5" s="1"/>
  <c r="T374" i="5"/>
  <c r="H374" i="5" s="1"/>
  <c r="T366" i="5"/>
  <c r="H366" i="5" s="1"/>
  <c r="T358" i="5"/>
  <c r="H358" i="5" s="1"/>
  <c r="T350" i="5"/>
  <c r="H350" i="5" s="1"/>
  <c r="T342" i="5"/>
  <c r="H342" i="5" s="1"/>
  <c r="T399" i="5"/>
  <c r="H399" i="5" s="1"/>
  <c r="T391" i="5"/>
  <c r="H391" i="5" s="1"/>
  <c r="T383" i="5"/>
  <c r="H383" i="5" s="1"/>
  <c r="T375" i="5"/>
  <c r="H375" i="5" s="1"/>
  <c r="T367" i="5"/>
  <c r="H367" i="5" s="1"/>
  <c r="T359" i="5"/>
  <c r="H359" i="5" s="1"/>
  <c r="T351" i="5"/>
  <c r="H351" i="5" s="1"/>
  <c r="T343" i="5"/>
  <c r="H343" i="5" s="1"/>
  <c r="T335" i="5"/>
  <c r="H335" i="5" s="1"/>
  <c r="T371" i="5"/>
  <c r="H371" i="5" s="1"/>
  <c r="T363" i="5"/>
  <c r="H363" i="5" s="1"/>
  <c r="T355" i="5"/>
  <c r="H355" i="5" s="1"/>
  <c r="T347" i="5"/>
  <c r="H347" i="5" s="1"/>
  <c r="T339" i="5"/>
  <c r="H339" i="5" s="1"/>
  <c r="R317" i="5"/>
  <c r="V317" i="5" s="1"/>
  <c r="R318" i="5"/>
  <c r="V318" i="5" s="1"/>
  <c r="R319" i="5"/>
  <c r="V319" i="5" s="1"/>
  <c r="R320" i="5"/>
  <c r="V320" i="5" s="1"/>
  <c r="R321" i="5"/>
  <c r="R322" i="5"/>
  <c r="V322" i="5" s="1"/>
  <c r="R323" i="5"/>
  <c r="V323" i="5" s="1"/>
  <c r="R324" i="5"/>
  <c r="V324" i="5" s="1"/>
  <c r="H324" i="5" s="1"/>
  <c r="R325" i="5"/>
  <c r="V325" i="5" s="1"/>
  <c r="R326" i="5"/>
  <c r="V326" i="5" s="1"/>
  <c r="R327" i="5"/>
  <c r="V327" i="5" s="1"/>
  <c r="R328" i="5"/>
  <c r="V328" i="5" s="1"/>
  <c r="R329" i="5"/>
  <c r="R330" i="5"/>
  <c r="V330" i="5" s="1"/>
  <c r="R331" i="5"/>
  <c r="V331" i="5" s="1"/>
  <c r="R332" i="5"/>
  <c r="V332" i="5" s="1"/>
  <c r="R333" i="5"/>
  <c r="V333" i="5" s="1"/>
  <c r="R334" i="5"/>
  <c r="V334" i="5" s="1"/>
  <c r="H334" i="5" l="1"/>
  <c r="V329" i="5"/>
  <c r="H325" i="5"/>
  <c r="H323" i="5"/>
  <c r="V321" i="5"/>
  <c r="H319" i="5"/>
  <c r="H318" i="5"/>
  <c r="T320" i="5"/>
  <c r="H320" i="5" s="1"/>
  <c r="T328" i="5"/>
  <c r="H328" i="5" s="1"/>
  <c r="T327" i="5"/>
  <c r="H327" i="5" s="1"/>
  <c r="T319" i="5"/>
  <c r="T326" i="5"/>
  <c r="H326" i="5" s="1"/>
  <c r="T318" i="5"/>
  <c r="T333" i="5"/>
  <c r="H333" i="5" s="1"/>
  <c r="T317" i="5"/>
  <c r="H317" i="5" s="1"/>
  <c r="T324" i="5"/>
  <c r="T332" i="5"/>
  <c r="H332" i="5" s="1"/>
  <c r="T323" i="5"/>
  <c r="T330" i="5"/>
  <c r="H330" i="5" s="1"/>
  <c r="T322" i="5"/>
  <c r="H322" i="5" s="1"/>
  <c r="T334" i="5"/>
  <c r="T325" i="5"/>
  <c r="T331" i="5"/>
  <c r="H331" i="5" s="1"/>
  <c r="AB285" i="5"/>
  <c r="AB286" i="5"/>
  <c r="AB287" i="5"/>
  <c r="AB288" i="5"/>
  <c r="AB289" i="5"/>
  <c r="AB290" i="5"/>
  <c r="AB291" i="5"/>
  <c r="AB292" i="5"/>
  <c r="AB293" i="5"/>
  <c r="AB294" i="5"/>
  <c r="AB295" i="5"/>
  <c r="AB296" i="5"/>
  <c r="AB297" i="5"/>
  <c r="AB298" i="5"/>
  <c r="AB299" i="5"/>
  <c r="AB300" i="5"/>
  <c r="AB301" i="5"/>
  <c r="AB302" i="5"/>
  <c r="AB303" i="5"/>
  <c r="AB304" i="5"/>
  <c r="AB305" i="5"/>
  <c r="AB306" i="5"/>
  <c r="AB307" i="5"/>
  <c r="AB308" i="5"/>
  <c r="AB309" i="5"/>
  <c r="AB310" i="5"/>
  <c r="AB311" i="5"/>
  <c r="AB312" i="5"/>
  <c r="AB313" i="5"/>
  <c r="AB314" i="5"/>
  <c r="AB315" i="5"/>
  <c r="AB316" i="5"/>
  <c r="R259" i="5"/>
  <c r="V259" i="5" s="1"/>
  <c r="T259" i="5" s="1"/>
  <c r="H259" i="5" s="1"/>
  <c r="R260" i="5"/>
  <c r="V260" i="5" s="1"/>
  <c r="R261" i="5"/>
  <c r="V261" i="5" s="1"/>
  <c r="T261" i="5" s="1"/>
  <c r="H261" i="5" s="1"/>
  <c r="R262" i="5"/>
  <c r="V262" i="5" s="1"/>
  <c r="R263" i="5"/>
  <c r="V263" i="5" s="1"/>
  <c r="R264" i="5"/>
  <c r="V264" i="5" s="1"/>
  <c r="R265" i="5"/>
  <c r="V265" i="5" s="1"/>
  <c r="T265" i="5" s="1"/>
  <c r="R266" i="5"/>
  <c r="V266" i="5" s="1"/>
  <c r="R267" i="5"/>
  <c r="V267" i="5" s="1"/>
  <c r="T267" i="5" s="1"/>
  <c r="R268" i="5"/>
  <c r="V268" i="5" s="1"/>
  <c r="R269" i="5"/>
  <c r="V269" i="5" s="1"/>
  <c r="T269" i="5" s="1"/>
  <c r="R270" i="5"/>
  <c r="V270" i="5" s="1"/>
  <c r="R271" i="5"/>
  <c r="V271" i="5" s="1"/>
  <c r="T271" i="5" s="1"/>
  <c r="R272" i="5"/>
  <c r="V272" i="5" s="1"/>
  <c r="R273" i="5"/>
  <c r="V273" i="5" s="1"/>
  <c r="T273" i="5" s="1"/>
  <c r="R274" i="5"/>
  <c r="V274" i="5" s="1"/>
  <c r="R275" i="5"/>
  <c r="V275" i="5" s="1"/>
  <c r="T275" i="5" s="1"/>
  <c r="R276" i="5"/>
  <c r="V276" i="5" s="1"/>
  <c r="R277" i="5"/>
  <c r="V277" i="5" s="1"/>
  <c r="T277" i="5" s="1"/>
  <c r="R278" i="5"/>
  <c r="V278" i="5" s="1"/>
  <c r="R279" i="5"/>
  <c r="V279" i="5" s="1"/>
  <c r="T279" i="5" s="1"/>
  <c r="R280" i="5"/>
  <c r="V280" i="5" s="1"/>
  <c r="R281" i="5"/>
  <c r="V281" i="5" s="1"/>
  <c r="T281" i="5" s="1"/>
  <c r="R282" i="5"/>
  <c r="V282" i="5" s="1"/>
  <c r="R283" i="5"/>
  <c r="V283" i="5" s="1"/>
  <c r="T283" i="5" s="1"/>
  <c r="R284" i="5"/>
  <c r="V284" i="5" s="1"/>
  <c r="R285" i="5"/>
  <c r="V285" i="5" s="1"/>
  <c r="T285" i="5" s="1"/>
  <c r="R286" i="5"/>
  <c r="V286" i="5" s="1"/>
  <c r="R287" i="5"/>
  <c r="V287" i="5" s="1"/>
  <c r="T287" i="5" s="1"/>
  <c r="R288" i="5"/>
  <c r="V288" i="5" s="1"/>
  <c r="R289" i="5"/>
  <c r="V289" i="5" s="1"/>
  <c r="T289" i="5" s="1"/>
  <c r="R290" i="5"/>
  <c r="V290" i="5" s="1"/>
  <c r="R291" i="5"/>
  <c r="V291" i="5" s="1"/>
  <c r="T291" i="5" s="1"/>
  <c r="R292" i="5"/>
  <c r="V292" i="5" s="1"/>
  <c r="R293" i="5"/>
  <c r="V293" i="5" s="1"/>
  <c r="T293" i="5" s="1"/>
  <c r="R294" i="5"/>
  <c r="V294" i="5" s="1"/>
  <c r="R295" i="5"/>
  <c r="V295" i="5" s="1"/>
  <c r="T295" i="5" s="1"/>
  <c r="R296" i="5"/>
  <c r="V296" i="5" s="1"/>
  <c r="R297" i="5"/>
  <c r="V297" i="5" s="1"/>
  <c r="T297" i="5" s="1"/>
  <c r="R298" i="5"/>
  <c r="V298" i="5" s="1"/>
  <c r="R299" i="5"/>
  <c r="V299" i="5" s="1"/>
  <c r="T299" i="5" s="1"/>
  <c r="R300" i="5"/>
  <c r="V300" i="5" s="1"/>
  <c r="R301" i="5"/>
  <c r="V301" i="5" s="1"/>
  <c r="T301" i="5" s="1"/>
  <c r="R302" i="5"/>
  <c r="V302" i="5" s="1"/>
  <c r="R303" i="5"/>
  <c r="V303" i="5" s="1"/>
  <c r="T303" i="5" s="1"/>
  <c r="R304" i="5"/>
  <c r="V304" i="5" s="1"/>
  <c r="R305" i="5"/>
  <c r="V305" i="5" s="1"/>
  <c r="T305" i="5" s="1"/>
  <c r="R306" i="5"/>
  <c r="V306" i="5" s="1"/>
  <c r="R307" i="5"/>
  <c r="V307" i="5" s="1"/>
  <c r="T307" i="5" s="1"/>
  <c r="R308" i="5"/>
  <c r="V308" i="5" s="1"/>
  <c r="R309" i="5"/>
  <c r="V309" i="5" s="1"/>
  <c r="T309" i="5" s="1"/>
  <c r="R310" i="5"/>
  <c r="V310" i="5" s="1"/>
  <c r="R311" i="5"/>
  <c r="V311" i="5" s="1"/>
  <c r="T311" i="5" s="1"/>
  <c r="R312" i="5"/>
  <c r="V312" i="5" s="1"/>
  <c r="R313" i="5"/>
  <c r="V313" i="5" s="1"/>
  <c r="T313" i="5" s="1"/>
  <c r="R314" i="5"/>
  <c r="V314" i="5" s="1"/>
  <c r="R315" i="5"/>
  <c r="V315" i="5" s="1"/>
  <c r="T315" i="5" s="1"/>
  <c r="R316" i="5"/>
  <c r="AB259" i="5"/>
  <c r="AB260" i="5"/>
  <c r="AB261" i="5"/>
  <c r="AB262" i="5"/>
  <c r="AB263" i="5"/>
  <c r="AB264" i="5"/>
  <c r="AB265" i="5"/>
  <c r="AB266" i="5"/>
  <c r="AB267" i="5"/>
  <c r="AB268" i="5"/>
  <c r="AB269" i="5"/>
  <c r="AB270" i="5"/>
  <c r="AB271" i="5"/>
  <c r="AB272" i="5"/>
  <c r="AB273" i="5"/>
  <c r="AB274" i="5"/>
  <c r="AB275" i="5"/>
  <c r="AB276" i="5"/>
  <c r="AB277" i="5"/>
  <c r="AB278" i="5"/>
  <c r="AB279" i="5"/>
  <c r="AB280" i="5"/>
  <c r="AB281" i="5"/>
  <c r="AB282" i="5"/>
  <c r="AB283" i="5"/>
  <c r="AB284" i="5"/>
  <c r="T329" i="5" l="1"/>
  <c r="H329" i="5" s="1"/>
  <c r="T321" i="5"/>
  <c r="H321" i="5" s="1"/>
  <c r="H315" i="5"/>
  <c r="H314" i="5"/>
  <c r="H312" i="5"/>
  <c r="H313" i="5"/>
  <c r="H311" i="5"/>
  <c r="H309" i="5"/>
  <c r="H307" i="5"/>
  <c r="H305" i="5"/>
  <c r="H303" i="5"/>
  <c r="H301" i="5"/>
  <c r="H300" i="5"/>
  <c r="H299" i="5"/>
  <c r="H298" i="5"/>
  <c r="H297" i="5"/>
  <c r="H295" i="5"/>
  <c r="H293" i="5"/>
  <c r="H291" i="5"/>
  <c r="H289" i="5"/>
  <c r="H285" i="5"/>
  <c r="H287" i="5"/>
  <c r="H286" i="5"/>
  <c r="H283" i="5"/>
  <c r="H281" i="5"/>
  <c r="H279" i="5"/>
  <c r="H277" i="5"/>
  <c r="H275" i="5"/>
  <c r="H274" i="5"/>
  <c r="H273" i="5"/>
  <c r="H272" i="5"/>
  <c r="H271" i="5"/>
  <c r="H270" i="5"/>
  <c r="H269" i="5"/>
  <c r="H267" i="5"/>
  <c r="H265" i="5"/>
  <c r="V316" i="5"/>
  <c r="T263" i="5"/>
  <c r="H263" i="5" s="1"/>
  <c r="T314" i="5"/>
  <c r="T312" i="5"/>
  <c r="T310" i="5"/>
  <c r="H310" i="5" s="1"/>
  <c r="T308" i="5"/>
  <c r="H308" i="5" s="1"/>
  <c r="T306" i="5"/>
  <c r="H306" i="5" s="1"/>
  <c r="T304" i="5"/>
  <c r="H304" i="5" s="1"/>
  <c r="T302" i="5"/>
  <c r="H302" i="5" s="1"/>
  <c r="T300" i="5"/>
  <c r="T298" i="5"/>
  <c r="T296" i="5"/>
  <c r="H296" i="5" s="1"/>
  <c r="T294" i="5"/>
  <c r="H294" i="5" s="1"/>
  <c r="T292" i="5"/>
  <c r="H292" i="5" s="1"/>
  <c r="T290" i="5"/>
  <c r="H290" i="5" s="1"/>
  <c r="T288" i="5"/>
  <c r="H288" i="5" s="1"/>
  <c r="T286" i="5"/>
  <c r="T284" i="5"/>
  <c r="H284" i="5" s="1"/>
  <c r="T282" i="5"/>
  <c r="H282" i="5" s="1"/>
  <c r="T280" i="5"/>
  <c r="H280" i="5" s="1"/>
  <c r="T278" i="5"/>
  <c r="H278" i="5" s="1"/>
  <c r="T276" i="5"/>
  <c r="H276" i="5" s="1"/>
  <c r="T274" i="5"/>
  <c r="T272" i="5"/>
  <c r="T270" i="5"/>
  <c r="T268" i="5"/>
  <c r="H268" i="5" s="1"/>
  <c r="T266" i="5"/>
  <c r="H266" i="5" s="1"/>
  <c r="T264" i="5"/>
  <c r="H264" i="5" s="1"/>
  <c r="T262" i="5"/>
  <c r="H262" i="5" s="1"/>
  <c r="T260" i="5"/>
  <c r="H260" i="5" s="1"/>
  <c r="R235" i="5"/>
  <c r="AB218" i="5"/>
  <c r="AB219" i="5"/>
  <c r="AB220" i="5"/>
  <c r="AB221" i="5"/>
  <c r="AB222" i="5"/>
  <c r="AB223" i="5"/>
  <c r="AB224" i="5"/>
  <c r="AB225" i="5"/>
  <c r="AB226" i="5"/>
  <c r="AB227" i="5"/>
  <c r="AB228" i="5"/>
  <c r="AB229" i="5"/>
  <c r="AB230" i="5"/>
  <c r="AB231" i="5"/>
  <c r="AB232" i="5"/>
  <c r="AB233" i="5"/>
  <c r="AB234" i="5"/>
  <c r="AB235" i="5"/>
  <c r="AB236" i="5"/>
  <c r="AB237" i="5"/>
  <c r="AB238" i="5"/>
  <c r="AB239" i="5"/>
  <c r="AB240" i="5"/>
  <c r="AB241" i="5"/>
  <c r="AB242" i="5"/>
  <c r="AB243" i="5"/>
  <c r="AB244" i="5"/>
  <c r="AB245" i="5"/>
  <c r="AB246" i="5"/>
  <c r="AB247" i="5"/>
  <c r="AB248" i="5"/>
  <c r="AB249" i="5"/>
  <c r="AB250" i="5"/>
  <c r="AB251" i="5"/>
  <c r="AB252" i="5"/>
  <c r="AB253" i="5"/>
  <c r="AB254" i="5"/>
  <c r="AB255" i="5"/>
  <c r="AB256" i="5"/>
  <c r="AB257" i="5"/>
  <c r="AB258" i="5"/>
  <c r="T316" i="5" l="1"/>
  <c r="H316" i="5"/>
  <c r="R232" i="5"/>
  <c r="V232" i="5" s="1"/>
  <c r="T232" i="5" s="1"/>
  <c r="R233" i="5"/>
  <c r="R234" i="5"/>
  <c r="V234" i="5" s="1"/>
  <c r="T234" i="5" s="1"/>
  <c r="R236" i="5"/>
  <c r="V236" i="5" s="1"/>
  <c r="T236" i="5" s="1"/>
  <c r="R237" i="5"/>
  <c r="R238" i="5"/>
  <c r="V238" i="5" s="1"/>
  <c r="T238" i="5" s="1"/>
  <c r="R239" i="5"/>
  <c r="R240" i="5"/>
  <c r="V240" i="5" s="1"/>
  <c r="T240" i="5" s="1"/>
  <c r="R241" i="5"/>
  <c r="R242" i="5"/>
  <c r="V242" i="5" s="1"/>
  <c r="T242" i="5" s="1"/>
  <c r="R243" i="5"/>
  <c r="R244" i="5"/>
  <c r="V244" i="5" s="1"/>
  <c r="T244" i="5" s="1"/>
  <c r="R245" i="5"/>
  <c r="R246" i="5"/>
  <c r="V246" i="5" s="1"/>
  <c r="T246" i="5" s="1"/>
  <c r="R247" i="5"/>
  <c r="R248" i="5"/>
  <c r="V248" i="5" s="1"/>
  <c r="T248" i="5" s="1"/>
  <c r="R249" i="5"/>
  <c r="R250" i="5"/>
  <c r="V250" i="5" s="1"/>
  <c r="T250" i="5" s="1"/>
  <c r="R251" i="5"/>
  <c r="R252" i="5"/>
  <c r="V252" i="5" s="1"/>
  <c r="T252" i="5" s="1"/>
  <c r="R253" i="5"/>
  <c r="R254" i="5"/>
  <c r="V254" i="5" s="1"/>
  <c r="T254" i="5" s="1"/>
  <c r="R255" i="5"/>
  <c r="R256" i="5"/>
  <c r="V256" i="5" s="1"/>
  <c r="T256" i="5" s="1"/>
  <c r="R257" i="5"/>
  <c r="R258" i="5"/>
  <c r="V258" i="5" s="1"/>
  <c r="T258" i="5" s="1"/>
  <c r="R219" i="5"/>
  <c r="R220" i="5"/>
  <c r="V220" i="5" s="1"/>
  <c r="T220" i="5" s="1"/>
  <c r="R221" i="5"/>
  <c r="R222" i="5"/>
  <c r="V222" i="5" s="1"/>
  <c r="T222" i="5" s="1"/>
  <c r="R223" i="5"/>
  <c r="R224" i="5"/>
  <c r="V224" i="5" s="1"/>
  <c r="T224" i="5" s="1"/>
  <c r="R225" i="5"/>
  <c r="R226" i="5"/>
  <c r="V226" i="5" s="1"/>
  <c r="T226" i="5" s="1"/>
  <c r="R227" i="5"/>
  <c r="R228" i="5"/>
  <c r="V228" i="5" s="1"/>
  <c r="T228" i="5" s="1"/>
  <c r="R229" i="5"/>
  <c r="R230" i="5"/>
  <c r="V230" i="5" s="1"/>
  <c r="T230" i="5" s="1"/>
  <c r="R231" i="5"/>
  <c r="H258" i="5" l="1"/>
  <c r="H256" i="5"/>
  <c r="H254" i="5"/>
  <c r="H252" i="5"/>
  <c r="H250" i="5"/>
  <c r="H248" i="5"/>
  <c r="H246" i="5"/>
  <c r="H244" i="5"/>
  <c r="H242" i="5"/>
  <c r="H238" i="5"/>
  <c r="H240" i="5"/>
  <c r="H236" i="5"/>
  <c r="H234" i="5"/>
  <c r="H230" i="5"/>
  <c r="H232" i="5"/>
  <c r="H228" i="5"/>
  <c r="H226" i="5"/>
  <c r="H224" i="5"/>
  <c r="H220" i="5"/>
  <c r="V231" i="5"/>
  <c r="T231" i="5" s="1"/>
  <c r="V229" i="5"/>
  <c r="V227" i="5"/>
  <c r="V225" i="5"/>
  <c r="T225" i="5" s="1"/>
  <c r="V257" i="5"/>
  <c r="V255" i="5"/>
  <c r="V253" i="5"/>
  <c r="V251" i="5"/>
  <c r="V249" i="5"/>
  <c r="V247" i="5"/>
  <c r="V245" i="5"/>
  <c r="V243" i="5"/>
  <c r="V241" i="5"/>
  <c r="V239" i="5"/>
  <c r="V237" i="5"/>
  <c r="V235" i="5"/>
  <c r="V233" i="5"/>
  <c r="V223" i="5"/>
  <c r="T223" i="5" s="1"/>
  <c r="V219" i="5"/>
  <c r="H222" i="5"/>
  <c r="V221" i="5"/>
  <c r="T221" i="5" s="1"/>
  <c r="AB181" i="5"/>
  <c r="AB182" i="5"/>
  <c r="AB183" i="5"/>
  <c r="AB184" i="5"/>
  <c r="AB185" i="5"/>
  <c r="AB186" i="5"/>
  <c r="AB187" i="5"/>
  <c r="AB188" i="5"/>
  <c r="AB189" i="5"/>
  <c r="AB190" i="5"/>
  <c r="AB191" i="5"/>
  <c r="AB192" i="5"/>
  <c r="AB193" i="5"/>
  <c r="AB194" i="5"/>
  <c r="AB195" i="5"/>
  <c r="AB196" i="5"/>
  <c r="AB197" i="5"/>
  <c r="AB198" i="5"/>
  <c r="AB199" i="5"/>
  <c r="AB200" i="5"/>
  <c r="AB201" i="5"/>
  <c r="AB202" i="5"/>
  <c r="AB203" i="5"/>
  <c r="AB204" i="5"/>
  <c r="AB205" i="5"/>
  <c r="AB206" i="5"/>
  <c r="AB207" i="5"/>
  <c r="AB208" i="5"/>
  <c r="AB209" i="5"/>
  <c r="AB210" i="5"/>
  <c r="AB211" i="5"/>
  <c r="AB212" i="5"/>
  <c r="AB213" i="5"/>
  <c r="AB214" i="5"/>
  <c r="AB215" i="5"/>
  <c r="AB216" i="5"/>
  <c r="AB217" i="5"/>
  <c r="R207" i="5"/>
  <c r="V207" i="5" s="1"/>
  <c r="R208" i="5"/>
  <c r="V208" i="5" s="1"/>
  <c r="R209" i="5"/>
  <c r="V209" i="5" s="1"/>
  <c r="R210" i="5"/>
  <c r="V210" i="5" s="1"/>
  <c r="R211" i="5"/>
  <c r="V211" i="5" s="1"/>
  <c r="R212" i="5"/>
  <c r="V212" i="5" s="1"/>
  <c r="R213" i="5"/>
  <c r="V213" i="5" s="1"/>
  <c r="R214" i="5"/>
  <c r="V214" i="5" s="1"/>
  <c r="T214" i="5" s="1"/>
  <c r="R215" i="5"/>
  <c r="V215" i="5" s="1"/>
  <c r="R216" i="5"/>
  <c r="V216" i="5" s="1"/>
  <c r="R217" i="5"/>
  <c r="V217" i="5" s="1"/>
  <c r="T217" i="5" s="1"/>
  <c r="R218" i="5"/>
  <c r="R192" i="5"/>
  <c r="V192" i="5" s="1"/>
  <c r="R193" i="5"/>
  <c r="V193" i="5" s="1"/>
  <c r="R194" i="5"/>
  <c r="V194" i="5" s="1"/>
  <c r="R195" i="5"/>
  <c r="V195" i="5" s="1"/>
  <c r="R196" i="5"/>
  <c r="V196" i="5" s="1"/>
  <c r="R197" i="5"/>
  <c r="V197" i="5" s="1"/>
  <c r="R198" i="5"/>
  <c r="V198" i="5" s="1"/>
  <c r="R199" i="5"/>
  <c r="V199" i="5" s="1"/>
  <c r="R200" i="5"/>
  <c r="V200" i="5" s="1"/>
  <c r="R201" i="5"/>
  <c r="V201" i="5" s="1"/>
  <c r="R202" i="5"/>
  <c r="V202" i="5" s="1"/>
  <c r="R203" i="5"/>
  <c r="V203" i="5" s="1"/>
  <c r="R204" i="5"/>
  <c r="V204" i="5" s="1"/>
  <c r="R205" i="5"/>
  <c r="V205" i="5" s="1"/>
  <c r="R206" i="5"/>
  <c r="V206" i="5" s="1"/>
  <c r="R181" i="5"/>
  <c r="V181" i="5" s="1"/>
  <c r="R182" i="5"/>
  <c r="V182" i="5" s="1"/>
  <c r="R183" i="5"/>
  <c r="V183" i="5" s="1"/>
  <c r="R184" i="5"/>
  <c r="V184" i="5" s="1"/>
  <c r="R185" i="5"/>
  <c r="V185" i="5" s="1"/>
  <c r="R186" i="5"/>
  <c r="V186" i="5" s="1"/>
  <c r="R187" i="5"/>
  <c r="V187" i="5" s="1"/>
  <c r="R188" i="5"/>
  <c r="V188" i="5" s="1"/>
  <c r="T188" i="5" s="1"/>
  <c r="R189" i="5"/>
  <c r="V189" i="5" s="1"/>
  <c r="R190" i="5"/>
  <c r="V190" i="5" s="1"/>
  <c r="R191" i="5"/>
  <c r="V191" i="5" s="1"/>
  <c r="R174" i="5"/>
  <c r="V174" i="5" s="1"/>
  <c r="R175" i="5"/>
  <c r="V175" i="5" s="1"/>
  <c r="R176" i="5"/>
  <c r="V176" i="5" s="1"/>
  <c r="T176" i="5" s="1"/>
  <c r="R177" i="5"/>
  <c r="V177" i="5" s="1"/>
  <c r="R178" i="5"/>
  <c r="V178" i="5" s="1"/>
  <c r="R179" i="5"/>
  <c r="V179" i="5" s="1"/>
  <c r="R180" i="5"/>
  <c r="V180" i="5" s="1"/>
  <c r="AB174" i="5"/>
  <c r="AB175" i="5"/>
  <c r="AB176" i="5"/>
  <c r="AB177" i="5"/>
  <c r="AB178" i="5"/>
  <c r="AB179" i="5"/>
  <c r="AB180" i="5"/>
  <c r="R164" i="5"/>
  <c r="V164" i="5" s="1"/>
  <c r="T164" i="5" s="1"/>
  <c r="R165" i="5"/>
  <c r="V165" i="5" s="1"/>
  <c r="R166" i="5"/>
  <c r="V166" i="5" s="1"/>
  <c r="T166" i="5" s="1"/>
  <c r="R167" i="5"/>
  <c r="V167" i="5" s="1"/>
  <c r="R168" i="5"/>
  <c r="V168" i="5" s="1"/>
  <c r="R169" i="5"/>
  <c r="V169" i="5" s="1"/>
  <c r="R170" i="5"/>
  <c r="V170" i="5" s="1"/>
  <c r="R171" i="5"/>
  <c r="V171" i="5" s="1"/>
  <c r="R172" i="5"/>
  <c r="V172" i="5" s="1"/>
  <c r="T172" i="5" s="1"/>
  <c r="R173" i="5"/>
  <c r="V173" i="5" s="1"/>
  <c r="AB164" i="5"/>
  <c r="AB165" i="5"/>
  <c r="AB166" i="5"/>
  <c r="AB167" i="5"/>
  <c r="AB168" i="5"/>
  <c r="AB169" i="5"/>
  <c r="AB170" i="5"/>
  <c r="AB171" i="5"/>
  <c r="AB172" i="5"/>
  <c r="AB173" i="5"/>
  <c r="R160" i="5"/>
  <c r="V160" i="5" s="1"/>
  <c r="R161" i="5"/>
  <c r="V161" i="5" s="1"/>
  <c r="R162" i="5"/>
  <c r="V162" i="5" s="1"/>
  <c r="R163" i="5"/>
  <c r="V163" i="5" s="1"/>
  <c r="AB160" i="5"/>
  <c r="AB161" i="5"/>
  <c r="AB162" i="5"/>
  <c r="AB163" i="5"/>
  <c r="R159" i="5"/>
  <c r="V159" i="5" s="1"/>
  <c r="AB159" i="5"/>
  <c r="R158" i="5"/>
  <c r="V158" i="5" s="1"/>
  <c r="AB158" i="5"/>
  <c r="T257" i="5" l="1"/>
  <c r="H257" i="5" s="1"/>
  <c r="T255" i="5"/>
  <c r="H255" i="5" s="1"/>
  <c r="T253" i="5"/>
  <c r="H253" i="5" s="1"/>
  <c r="T251" i="5"/>
  <c r="H251" i="5" s="1"/>
  <c r="T249" i="5"/>
  <c r="H249" i="5" s="1"/>
  <c r="T247" i="5"/>
  <c r="H247" i="5"/>
  <c r="T245" i="5"/>
  <c r="H245" i="5"/>
  <c r="T243" i="5"/>
  <c r="H243" i="5"/>
  <c r="T241" i="5"/>
  <c r="H241" i="5" s="1"/>
  <c r="T239" i="5"/>
  <c r="H239" i="5"/>
  <c r="T237" i="5"/>
  <c r="H237" i="5" s="1"/>
  <c r="T235" i="5"/>
  <c r="H235" i="5" s="1"/>
  <c r="T233" i="5"/>
  <c r="H233" i="5" s="1"/>
  <c r="H231" i="5"/>
  <c r="T229" i="5"/>
  <c r="H229" i="5" s="1"/>
  <c r="T227" i="5"/>
  <c r="H227" i="5" s="1"/>
  <c r="H225" i="5"/>
  <c r="V218" i="5"/>
  <c r="T218" i="5" s="1"/>
  <c r="H218" i="5" s="1"/>
  <c r="H223" i="5"/>
  <c r="T219" i="5"/>
  <c r="H219" i="5" s="1"/>
  <c r="H221" i="5"/>
  <c r="H217" i="5"/>
  <c r="H214" i="5"/>
  <c r="T203" i="5"/>
  <c r="H203" i="5" s="1"/>
  <c r="T195" i="5"/>
  <c r="H195" i="5" s="1"/>
  <c r="T210" i="5"/>
  <c r="H210" i="5" s="1"/>
  <c r="T209" i="5"/>
  <c r="H209" i="5" s="1"/>
  <c r="T216" i="5"/>
  <c r="H216" i="5" s="1"/>
  <c r="T208" i="5"/>
  <c r="H208" i="5" s="1"/>
  <c r="T215" i="5"/>
  <c r="H215" i="5" s="1"/>
  <c r="T207" i="5"/>
  <c r="H207" i="5" s="1"/>
  <c r="T213" i="5"/>
  <c r="H213" i="5" s="1"/>
  <c r="T212" i="5"/>
  <c r="H212" i="5" s="1"/>
  <c r="T211" i="5"/>
  <c r="H211" i="5" s="1"/>
  <c r="T187" i="5"/>
  <c r="H187" i="5" s="1"/>
  <c r="T189" i="5"/>
  <c r="H189" i="5" s="1"/>
  <c r="T181" i="5"/>
  <c r="H181" i="5" s="1"/>
  <c r="T190" i="5"/>
  <c r="H190" i="5" s="1"/>
  <c r="T194" i="5"/>
  <c r="H194" i="5" s="1"/>
  <c r="T202" i="5"/>
  <c r="H202" i="5" s="1"/>
  <c r="T201" i="5"/>
  <c r="H201" i="5" s="1"/>
  <c r="T193" i="5"/>
  <c r="H193" i="5" s="1"/>
  <c r="T200" i="5"/>
  <c r="H200" i="5" s="1"/>
  <c r="T192" i="5"/>
  <c r="H192" i="5" s="1"/>
  <c r="T199" i="5"/>
  <c r="H199" i="5" s="1"/>
  <c r="T184" i="5"/>
  <c r="H184" i="5" s="1"/>
  <c r="T206" i="5"/>
  <c r="H206" i="5" s="1"/>
  <c r="T198" i="5"/>
  <c r="H198" i="5" s="1"/>
  <c r="T205" i="5"/>
  <c r="H205" i="5" s="1"/>
  <c r="T197" i="5"/>
  <c r="H197" i="5" s="1"/>
  <c r="T204" i="5"/>
  <c r="H204" i="5" s="1"/>
  <c r="T196" i="5"/>
  <c r="H196" i="5" s="1"/>
  <c r="T191" i="5"/>
  <c r="H191" i="5" s="1"/>
  <c r="T183" i="5"/>
  <c r="H183" i="5" s="1"/>
  <c r="H188" i="5"/>
  <c r="T185" i="5"/>
  <c r="H185" i="5" s="1"/>
  <c r="T186" i="5"/>
  <c r="H186" i="5" s="1"/>
  <c r="T182" i="5"/>
  <c r="H182" i="5" s="1"/>
  <c r="H176" i="5"/>
  <c r="H172" i="5"/>
  <c r="H167" i="5"/>
  <c r="H166" i="5"/>
  <c r="H164" i="5"/>
  <c r="T171" i="5"/>
  <c r="H171" i="5" s="1"/>
  <c r="T177" i="5"/>
  <c r="H177" i="5" s="1"/>
  <c r="T173" i="5"/>
  <c r="H173" i="5" s="1"/>
  <c r="T169" i="5"/>
  <c r="H169" i="5" s="1"/>
  <c r="T179" i="5"/>
  <c r="H179" i="5" s="1"/>
  <c r="T167" i="5"/>
  <c r="T175" i="5"/>
  <c r="H175" i="5" s="1"/>
  <c r="T170" i="5"/>
  <c r="H170" i="5" s="1"/>
  <c r="T174" i="5"/>
  <c r="H174" i="5" s="1"/>
  <c r="T180" i="5"/>
  <c r="H180" i="5" s="1"/>
  <c r="T178" i="5"/>
  <c r="H178" i="5" s="1"/>
  <c r="T163" i="5"/>
  <c r="H163" i="5" s="1"/>
  <c r="T168" i="5"/>
  <c r="H168" i="5" s="1"/>
  <c r="T165" i="5"/>
  <c r="H165" i="5" s="1"/>
  <c r="T162" i="5"/>
  <c r="H162" i="5" s="1"/>
  <c r="T160" i="5"/>
  <c r="H160" i="5" s="1"/>
  <c r="T161" i="5"/>
  <c r="H161" i="5" s="1"/>
  <c r="T158" i="5"/>
  <c r="H158" i="5" s="1"/>
  <c r="T159" i="5"/>
  <c r="H159" i="5" s="1"/>
  <c r="R156" i="5"/>
  <c r="R155" i="5" l="1"/>
  <c r="V155" i="5" s="1"/>
  <c r="V156" i="5"/>
  <c r="R157" i="5"/>
  <c r="V157" i="5" s="1"/>
  <c r="AB150" i="5"/>
  <c r="AB151" i="5"/>
  <c r="AB152" i="5"/>
  <c r="AB153" i="5"/>
  <c r="AB154" i="5"/>
  <c r="AB155" i="5"/>
  <c r="AB156" i="5"/>
  <c r="AB157" i="5"/>
  <c r="R154" i="5"/>
  <c r="R153" i="5"/>
  <c r="V153" i="5" s="1"/>
  <c r="T153" i="5" s="1"/>
  <c r="R152" i="5"/>
  <c r="V152" i="5" s="1"/>
  <c r="T152" i="5" s="1"/>
  <c r="R151" i="5"/>
  <c r="V151" i="5" s="1"/>
  <c r="T151" i="5" s="1"/>
  <c r="R150" i="5"/>
  <c r="V150" i="5" s="1"/>
  <c r="T150" i="5" s="1"/>
  <c r="H150" i="5" s="1"/>
  <c r="H152" i="5" l="1"/>
  <c r="H155" i="5"/>
  <c r="H153" i="5"/>
  <c r="H151" i="5"/>
  <c r="V154" i="5"/>
  <c r="T157" i="5"/>
  <c r="H157" i="5" s="1"/>
  <c r="T156" i="5"/>
  <c r="H156" i="5" s="1"/>
  <c r="T155" i="5"/>
  <c r="T154" i="5" l="1"/>
  <c r="H154" i="5"/>
  <c r="R149" i="5"/>
  <c r="V149" i="5" s="1"/>
  <c r="AB149" i="5"/>
  <c r="R148" i="5"/>
  <c r="V148" i="5" s="1"/>
  <c r="AB148" i="5"/>
  <c r="R147" i="5"/>
  <c r="V147" i="5" s="1"/>
  <c r="AB147" i="5"/>
  <c r="R146" i="5"/>
  <c r="V146" i="5" s="1"/>
  <c r="AB146" i="5"/>
  <c r="R96" i="5"/>
  <c r="R145" i="5"/>
  <c r="AB145" i="5"/>
  <c r="R144" i="5"/>
  <c r="V144" i="5" s="1"/>
  <c r="AB144" i="5"/>
  <c r="R143" i="5"/>
  <c r="V143" i="5" s="1"/>
  <c r="AB143" i="5"/>
  <c r="R142" i="5"/>
  <c r="V142" i="5" s="1"/>
  <c r="AB142" i="5"/>
  <c r="R141" i="5"/>
  <c r="V141" i="5" s="1"/>
  <c r="AB141" i="5"/>
  <c r="R140" i="5"/>
  <c r="V140" i="5" s="1"/>
  <c r="AB140" i="5"/>
  <c r="R139" i="5"/>
  <c r="V139" i="5" s="1"/>
  <c r="AB139" i="5"/>
  <c r="R138" i="5"/>
  <c r="V138" i="5" s="1"/>
  <c r="AB138" i="5"/>
  <c r="R137" i="5"/>
  <c r="V137" i="5" s="1"/>
  <c r="AB137" i="5"/>
  <c r="R136" i="5"/>
  <c r="V136" i="5" s="1"/>
  <c r="AB136" i="5"/>
  <c r="R135" i="5"/>
  <c r="V135" i="5" s="1"/>
  <c r="AB135" i="5"/>
  <c r="R134" i="5"/>
  <c r="V134" i="5" s="1"/>
  <c r="AB134" i="5"/>
  <c r="T147" i="5" l="1"/>
  <c r="H147" i="5" s="1"/>
  <c r="T149" i="5"/>
  <c r="H149" i="5" s="1"/>
  <c r="T148" i="5"/>
  <c r="H148" i="5" s="1"/>
  <c r="T146" i="5"/>
  <c r="H146" i="5" s="1"/>
  <c r="V145" i="5"/>
  <c r="T144" i="5"/>
  <c r="H144" i="5" s="1"/>
  <c r="T142" i="5"/>
  <c r="H142" i="5" s="1"/>
  <c r="T143" i="5"/>
  <c r="H143" i="5" s="1"/>
  <c r="T141" i="5"/>
  <c r="H141" i="5" s="1"/>
  <c r="T140" i="5"/>
  <c r="H140" i="5" s="1"/>
  <c r="T139" i="5"/>
  <c r="H139" i="5" s="1"/>
  <c r="T138" i="5"/>
  <c r="H138" i="5" s="1"/>
  <c r="T137" i="5"/>
  <c r="H137" i="5" s="1"/>
  <c r="T136" i="5"/>
  <c r="H136" i="5" s="1"/>
  <c r="T134" i="5"/>
  <c r="H134" i="5" s="1"/>
  <c r="T135" i="5"/>
  <c r="H135" i="5" s="1"/>
  <c r="T145" i="5" l="1"/>
  <c r="H145" i="5" s="1"/>
  <c r="AB128" i="5"/>
  <c r="AB129" i="5"/>
  <c r="AB130" i="5"/>
  <c r="AB131" i="5"/>
  <c r="AB132" i="5"/>
  <c r="AB133" i="5"/>
  <c r="R133" i="5"/>
  <c r="V133" i="5" s="1"/>
  <c r="R132" i="5"/>
  <c r="R131" i="5"/>
  <c r="V131" i="5" s="1"/>
  <c r="R130" i="5"/>
  <c r="V130" i="5" s="1"/>
  <c r="R129" i="5"/>
  <c r="V129" i="5" s="1"/>
  <c r="R128" i="5"/>
  <c r="V128" i="5" s="1"/>
  <c r="AB127" i="5"/>
  <c r="R127" i="5"/>
  <c r="V127" i="5" s="1"/>
  <c r="T133" i="5" l="1"/>
  <c r="H133" i="5" s="1"/>
  <c r="V132" i="5"/>
  <c r="T130" i="5"/>
  <c r="H130" i="5" s="1"/>
  <c r="T131" i="5"/>
  <c r="H131" i="5" s="1"/>
  <c r="T129" i="5"/>
  <c r="H129" i="5" s="1"/>
  <c r="T128" i="5"/>
  <c r="H128" i="5" s="1"/>
  <c r="T127" i="5"/>
  <c r="H127" i="5" s="1"/>
  <c r="AB95" i="5"/>
  <c r="R126" i="5"/>
  <c r="T132" i="5" l="1"/>
  <c r="H132" i="5" s="1"/>
  <c r="R123" i="5"/>
  <c r="V123" i="5" s="1"/>
  <c r="T123" i="5" s="1"/>
  <c r="R124" i="5"/>
  <c r="R125" i="5"/>
  <c r="V125" i="5" s="1"/>
  <c r="T125" i="5" s="1"/>
  <c r="V126" i="5"/>
  <c r="T126" i="5" s="1"/>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7" i="5"/>
  <c r="R98" i="5"/>
  <c r="R99" i="5"/>
  <c r="R100" i="5"/>
  <c r="R101" i="5"/>
  <c r="R102" i="5"/>
  <c r="R103" i="5"/>
  <c r="R104" i="5"/>
  <c r="R105" i="5"/>
  <c r="R106" i="5"/>
  <c r="R107" i="5"/>
  <c r="R108" i="5"/>
  <c r="R109" i="5"/>
  <c r="R110" i="5"/>
  <c r="R111" i="5"/>
  <c r="R112" i="5"/>
  <c r="R113" i="5"/>
  <c r="R114" i="5"/>
  <c r="R115" i="5"/>
  <c r="R116" i="5"/>
  <c r="R117" i="5"/>
  <c r="R118" i="5"/>
  <c r="R119" i="5"/>
  <c r="R120" i="5"/>
  <c r="R121" i="5"/>
  <c r="R122" i="5"/>
  <c r="AB123" i="5"/>
  <c r="AB124" i="5"/>
  <c r="AB125" i="5"/>
  <c r="AB126" i="5"/>
  <c r="B5" i="5"/>
  <c r="B6" i="5" s="1"/>
  <c r="B7" i="5" s="1"/>
  <c r="B8" i="5" s="1"/>
  <c r="B9" i="5" s="1"/>
  <c r="B10" i="5" s="1"/>
  <c r="B11" i="5" s="1"/>
  <c r="B12" i="5" s="1"/>
  <c r="B13" i="5" s="1"/>
  <c r="B14" i="5" s="1"/>
  <c r="B15" i="5" s="1"/>
  <c r="B16" i="5" s="1"/>
  <c r="B17" i="5" s="1"/>
  <c r="B18" i="5" s="1"/>
  <c r="B19" i="5" s="1"/>
  <c r="B20" i="5" s="1"/>
  <c r="B21" i="5" s="1"/>
  <c r="B22" i="5" s="1"/>
  <c r="B23" i="5" s="1"/>
  <c r="B24" i="5" s="1"/>
  <c r="B25" i="5" s="1"/>
  <c r="B26" i="5" s="1"/>
  <c r="B27" i="5" s="1"/>
  <c r="B28" i="5" s="1"/>
  <c r="B29" i="5" s="1"/>
  <c r="B30" i="5" s="1"/>
  <c r="B31" i="5" s="1"/>
  <c r="B32" i="5" s="1"/>
  <c r="B33" i="5" s="1"/>
  <c r="B34" i="5" s="1"/>
  <c r="B35" i="5" s="1"/>
  <c r="B36" i="5" s="1"/>
  <c r="B37" i="5" s="1"/>
  <c r="B38" i="5" s="1"/>
  <c r="B39" i="5" s="1"/>
  <c r="B40" i="5" s="1"/>
  <c r="B41" i="5" s="1"/>
  <c r="B42" i="5" s="1"/>
  <c r="B43" i="5" s="1"/>
  <c r="B44" i="5" s="1"/>
  <c r="B45" i="5" s="1"/>
  <c r="B46" i="5" s="1"/>
  <c r="B47" i="5" s="1"/>
  <c r="B48" i="5" s="1"/>
  <c r="B49" i="5" s="1"/>
  <c r="B50" i="5" s="1"/>
  <c r="B51" i="5" s="1"/>
  <c r="B52" i="5" s="1"/>
  <c r="B53" i="5" s="1"/>
  <c r="B54" i="5" s="1"/>
  <c r="B55" i="5" s="1"/>
  <c r="B56" i="5" s="1"/>
  <c r="B57" i="5" s="1"/>
  <c r="B58" i="5" s="1"/>
  <c r="B59" i="5" s="1"/>
  <c r="B60" i="5" s="1"/>
  <c r="B61" i="5" s="1"/>
  <c r="B62" i="5" s="1"/>
  <c r="B63" i="5" s="1"/>
  <c r="B64" i="5" s="1"/>
  <c r="B65" i="5" s="1"/>
  <c r="B66" i="5" s="1"/>
  <c r="B67" i="5" s="1"/>
  <c r="B68" i="5" s="1"/>
  <c r="B69" i="5" s="1"/>
  <c r="B70" i="5" s="1"/>
  <c r="B71" i="5" s="1"/>
  <c r="B72" i="5" s="1"/>
  <c r="B73" i="5" s="1"/>
  <c r="B74" i="5" s="1"/>
  <c r="B75" i="5" s="1"/>
  <c r="B76" i="5" s="1"/>
  <c r="B77" i="5" s="1"/>
  <c r="B78" i="5" s="1"/>
  <c r="B79" i="5" s="1"/>
  <c r="B80" i="5" s="1"/>
  <c r="B81" i="5" s="1"/>
  <c r="B82" i="5" s="1"/>
  <c r="B83" i="5" s="1"/>
  <c r="B84" i="5" s="1"/>
  <c r="B85" i="5" s="1"/>
  <c r="B86" i="5" s="1"/>
  <c r="B87" i="5" s="1"/>
  <c r="B88" i="5" s="1"/>
  <c r="B89" i="5" s="1"/>
  <c r="B90" i="5" s="1"/>
  <c r="B91" i="5" s="1"/>
  <c r="B92" i="5" s="1"/>
  <c r="B93" i="5" s="1"/>
  <c r="B94" i="5" s="1"/>
  <c r="B95" i="5" s="1"/>
  <c r="B96" i="5" s="1"/>
  <c r="B97" i="5" s="1"/>
  <c r="B98" i="5" s="1"/>
  <c r="B99" i="5" s="1"/>
  <c r="B100" i="5" s="1"/>
  <c r="B101" i="5" s="1"/>
  <c r="B102" i="5" s="1"/>
  <c r="B103" i="5" s="1"/>
  <c r="B104" i="5" s="1"/>
  <c r="B105" i="5" s="1"/>
  <c r="B106" i="5" s="1"/>
  <c r="B107" i="5" s="1"/>
  <c r="B108" i="5" s="1"/>
  <c r="B109" i="5" s="1"/>
  <c r="B110" i="5" l="1"/>
  <c r="B111" i="5" s="1"/>
  <c r="B112" i="5" s="1"/>
  <c r="B113" i="5" s="1"/>
  <c r="B114" i="5" s="1"/>
  <c r="B115" i="5" s="1"/>
  <c r="B116" i="5" s="1"/>
  <c r="B117" i="5" s="1"/>
  <c r="B118" i="5" s="1"/>
  <c r="B119" i="5" s="1"/>
  <c r="B120" i="5" s="1"/>
  <c r="B121" i="5" s="1"/>
  <c r="B122" i="5" s="1"/>
  <c r="B123" i="5" s="1"/>
  <c r="B124" i="5" s="1"/>
  <c r="B125" i="5" s="1"/>
  <c r="B126" i="5" s="1"/>
  <c r="B127" i="5" s="1"/>
  <c r="B128" i="5" s="1"/>
  <c r="B129" i="5" s="1"/>
  <c r="B130" i="5" s="1"/>
  <c r="B131" i="5" s="1"/>
  <c r="B132" i="5" s="1"/>
  <c r="B133" i="5" s="1"/>
  <c r="B134" i="5" s="1"/>
  <c r="B135" i="5" s="1"/>
  <c r="B136" i="5" s="1"/>
  <c r="B137" i="5" s="1"/>
  <c r="B138" i="5" s="1"/>
  <c r="B139" i="5" s="1"/>
  <c r="B140" i="5" s="1"/>
  <c r="B141" i="5" s="1"/>
  <c r="B142" i="5" s="1"/>
  <c r="B143" i="5" s="1"/>
  <c r="B144" i="5" s="1"/>
  <c r="B145" i="5" s="1"/>
  <c r="B146" i="5" s="1"/>
  <c r="B147" i="5" s="1"/>
  <c r="B148" i="5" s="1"/>
  <c r="B149" i="5" s="1"/>
  <c r="B150" i="5" s="1"/>
  <c r="B151" i="5" s="1"/>
  <c r="B152" i="5" s="1"/>
  <c r="B153" i="5" s="1"/>
  <c r="B154" i="5" s="1"/>
  <c r="B155" i="5" s="1"/>
  <c r="B156" i="5" s="1"/>
  <c r="B157" i="5" s="1"/>
  <c r="B158" i="5" s="1"/>
  <c r="B159" i="5" s="1"/>
  <c r="B160" i="5" s="1"/>
  <c r="B161" i="5" s="1"/>
  <c r="B162" i="5" s="1"/>
  <c r="B163" i="5" s="1"/>
  <c r="B164" i="5" s="1"/>
  <c r="B165" i="5" s="1"/>
  <c r="B166" i="5" s="1"/>
  <c r="B167" i="5" s="1"/>
  <c r="B168" i="5" s="1"/>
  <c r="B169" i="5" s="1"/>
  <c r="B170" i="5" s="1"/>
  <c r="B171" i="5" s="1"/>
  <c r="B172" i="5" s="1"/>
  <c r="B173" i="5" s="1"/>
  <c r="B174" i="5" s="1"/>
  <c r="B175" i="5" s="1"/>
  <c r="B176" i="5" s="1"/>
  <c r="B177" i="5" s="1"/>
  <c r="B178" i="5" s="1"/>
  <c r="B179" i="5" s="1"/>
  <c r="B180" i="5" s="1"/>
  <c r="B181" i="5" s="1"/>
  <c r="B182" i="5" s="1"/>
  <c r="B183" i="5" s="1"/>
  <c r="B184" i="5" s="1"/>
  <c r="B185" i="5" s="1"/>
  <c r="B186" i="5" s="1"/>
  <c r="B187" i="5" s="1"/>
  <c r="B188" i="5" s="1"/>
  <c r="B189" i="5" s="1"/>
  <c r="B190" i="5" s="1"/>
  <c r="B191" i="5" s="1"/>
  <c r="B192" i="5" s="1"/>
  <c r="B193" i="5" s="1"/>
  <c r="B194" i="5" s="1"/>
  <c r="B195" i="5" s="1"/>
  <c r="B196" i="5" s="1"/>
  <c r="B197" i="5" s="1"/>
  <c r="B198" i="5" s="1"/>
  <c r="B199" i="5" s="1"/>
  <c r="B200" i="5" s="1"/>
  <c r="B201" i="5" s="1"/>
  <c r="B202" i="5" s="1"/>
  <c r="B203" i="5" s="1"/>
  <c r="B204" i="5" s="1"/>
  <c r="B205" i="5" s="1"/>
  <c r="B206" i="5" s="1"/>
  <c r="B207" i="5" s="1"/>
  <c r="B208" i="5" s="1"/>
  <c r="B209" i="5" s="1"/>
  <c r="B210" i="5" s="1"/>
  <c r="B211" i="5" s="1"/>
  <c r="B212" i="5" s="1"/>
  <c r="B213" i="5" s="1"/>
  <c r="B214" i="5" s="1"/>
  <c r="B215" i="5" s="1"/>
  <c r="B216" i="5" s="1"/>
  <c r="B217" i="5" s="1"/>
  <c r="B218" i="5" s="1"/>
  <c r="B219" i="5" s="1"/>
  <c r="B220" i="5" s="1"/>
  <c r="B221" i="5" s="1"/>
  <c r="B222" i="5" s="1"/>
  <c r="B223" i="5" s="1"/>
  <c r="B224" i="5" s="1"/>
  <c r="B225" i="5" s="1"/>
  <c r="B226" i="5" s="1"/>
  <c r="B227" i="5" s="1"/>
  <c r="B228" i="5" s="1"/>
  <c r="B229" i="5" s="1"/>
  <c r="B230" i="5" s="1"/>
  <c r="B231" i="5" s="1"/>
  <c r="B232" i="5" s="1"/>
  <c r="B233" i="5" s="1"/>
  <c r="B234" i="5" s="1"/>
  <c r="B235" i="5" s="1"/>
  <c r="B236" i="5" s="1"/>
  <c r="B237" i="5" s="1"/>
  <c r="B238" i="5" s="1"/>
  <c r="B239" i="5" s="1"/>
  <c r="B240" i="5" s="1"/>
  <c r="B241" i="5" s="1"/>
  <c r="B242" i="5" s="1"/>
  <c r="B243" i="5" s="1"/>
  <c r="B244" i="5" s="1"/>
  <c r="B245" i="5" s="1"/>
  <c r="B246" i="5" s="1"/>
  <c r="B247" i="5" s="1"/>
  <c r="B248" i="5" s="1"/>
  <c r="B249" i="5" s="1"/>
  <c r="B250" i="5" s="1"/>
  <c r="B251" i="5" s="1"/>
  <c r="B252" i="5" s="1"/>
  <c r="B253" i="5" s="1"/>
  <c r="B254" i="5" s="1"/>
  <c r="B255" i="5" s="1"/>
  <c r="B256" i="5" s="1"/>
  <c r="B257" i="5" s="1"/>
  <c r="B258" i="5" s="1"/>
  <c r="B259" i="5" s="1"/>
  <c r="B260" i="5" s="1"/>
  <c r="B261" i="5" s="1"/>
  <c r="B262" i="5" s="1"/>
  <c r="B263" i="5" s="1"/>
  <c r="B264" i="5" s="1"/>
  <c r="B265" i="5" s="1"/>
  <c r="B266" i="5" s="1"/>
  <c r="B267" i="5" s="1"/>
  <c r="B268" i="5" s="1"/>
  <c r="B269" i="5" s="1"/>
  <c r="B270" i="5" s="1"/>
  <c r="B271" i="5" s="1"/>
  <c r="B272" i="5" s="1"/>
  <c r="B273" i="5" s="1"/>
  <c r="B274" i="5" s="1"/>
  <c r="B275" i="5" s="1"/>
  <c r="B276" i="5" s="1"/>
  <c r="B277" i="5" s="1"/>
  <c r="B278" i="5" s="1"/>
  <c r="B279" i="5" s="1"/>
  <c r="B280" i="5" s="1"/>
  <c r="B281" i="5" s="1"/>
  <c r="B282" i="5" s="1"/>
  <c r="B283" i="5" s="1"/>
  <c r="B284" i="5" s="1"/>
  <c r="B285" i="5" s="1"/>
  <c r="B286" i="5" s="1"/>
  <c r="B287" i="5" s="1"/>
  <c r="B288" i="5" s="1"/>
  <c r="B289" i="5" s="1"/>
  <c r="B290" i="5" s="1"/>
  <c r="B291" i="5" s="1"/>
  <c r="B292" i="5" s="1"/>
  <c r="B293" i="5" s="1"/>
  <c r="B294" i="5" s="1"/>
  <c r="B295" i="5" s="1"/>
  <c r="B296" i="5" s="1"/>
  <c r="B297" i="5" s="1"/>
  <c r="B298" i="5" s="1"/>
  <c r="B299" i="5" s="1"/>
  <c r="B300" i="5" s="1"/>
  <c r="B301" i="5" s="1"/>
  <c r="B302" i="5" s="1"/>
  <c r="B303" i="5" s="1"/>
  <c r="B304" i="5" s="1"/>
  <c r="B305" i="5" s="1"/>
  <c r="B306" i="5" s="1"/>
  <c r="B307" i="5" s="1"/>
  <c r="B308" i="5" s="1"/>
  <c r="B309" i="5" s="1"/>
  <c r="B310" i="5" s="1"/>
  <c r="B311" i="5" s="1"/>
  <c r="B312" i="5" s="1"/>
  <c r="B313" i="5" s="1"/>
  <c r="B314" i="5" s="1"/>
  <c r="B315" i="5" s="1"/>
  <c r="B316" i="5" s="1"/>
  <c r="B317" i="5" s="1"/>
  <c r="B318" i="5" s="1"/>
  <c r="B319" i="5" s="1"/>
  <c r="B320" i="5" s="1"/>
  <c r="B321" i="5" s="1"/>
  <c r="B322" i="5" s="1"/>
  <c r="B323" i="5" s="1"/>
  <c r="B324" i="5" s="1"/>
  <c r="B325" i="5" s="1"/>
  <c r="B326" i="5" s="1"/>
  <c r="B327" i="5" s="1"/>
  <c r="B328" i="5" s="1"/>
  <c r="B329" i="5" s="1"/>
  <c r="B330" i="5" s="1"/>
  <c r="B331" i="5" s="1"/>
  <c r="B332" i="5" s="1"/>
  <c r="B333" i="5" s="1"/>
  <c r="B334" i="5" s="1"/>
  <c r="B335" i="5" s="1"/>
  <c r="B336" i="5" s="1"/>
  <c r="B337" i="5" s="1"/>
  <c r="B338" i="5" s="1"/>
  <c r="B339" i="5" s="1"/>
  <c r="B340" i="5" s="1"/>
  <c r="B341" i="5" s="1"/>
  <c r="B342" i="5" s="1"/>
  <c r="B343" i="5" s="1"/>
  <c r="B344" i="5" s="1"/>
  <c r="B345" i="5" s="1"/>
  <c r="B346" i="5" s="1"/>
  <c r="B347" i="5" s="1"/>
  <c r="B348" i="5" s="1"/>
  <c r="B349" i="5" s="1"/>
  <c r="B350" i="5" s="1"/>
  <c r="B351" i="5" s="1"/>
  <c r="B352" i="5" s="1"/>
  <c r="B353" i="5" s="1"/>
  <c r="B354" i="5" s="1"/>
  <c r="B355" i="5" s="1"/>
  <c r="B356" i="5" s="1"/>
  <c r="B357" i="5" s="1"/>
  <c r="B358" i="5" s="1"/>
  <c r="B359" i="5" s="1"/>
  <c r="B360" i="5" s="1"/>
  <c r="B361" i="5" s="1"/>
  <c r="B362" i="5" s="1"/>
  <c r="B363" i="5" s="1"/>
  <c r="B364" i="5" s="1"/>
  <c r="B365" i="5" s="1"/>
  <c r="B366" i="5" s="1"/>
  <c r="B367" i="5" s="1"/>
  <c r="B368" i="5" s="1"/>
  <c r="B369" i="5" s="1"/>
  <c r="B370" i="5" s="1"/>
  <c r="B371" i="5" s="1"/>
  <c r="B372" i="5" s="1"/>
  <c r="B373" i="5" s="1"/>
  <c r="B374" i="5" s="1"/>
  <c r="B375" i="5" s="1"/>
  <c r="B376" i="5" s="1"/>
  <c r="B377" i="5" s="1"/>
  <c r="B378" i="5" s="1"/>
  <c r="B379" i="5" s="1"/>
  <c r="B380" i="5" s="1"/>
  <c r="B381" i="5" s="1"/>
  <c r="B382" i="5" s="1"/>
  <c r="B383" i="5" s="1"/>
  <c r="B384" i="5" s="1"/>
  <c r="B385" i="5" s="1"/>
  <c r="B386" i="5" s="1"/>
  <c r="B387" i="5" s="1"/>
  <c r="B388" i="5" s="1"/>
  <c r="B389" i="5" s="1"/>
  <c r="B390" i="5" s="1"/>
  <c r="B391" i="5" s="1"/>
  <c r="B392" i="5" s="1"/>
  <c r="B393" i="5" s="1"/>
  <c r="B394" i="5" s="1"/>
  <c r="B395" i="5" s="1"/>
  <c r="B396" i="5" s="1"/>
  <c r="B397" i="5" s="1"/>
  <c r="B398" i="5" s="1"/>
  <c r="B399" i="5" s="1"/>
  <c r="B400" i="5" s="1"/>
  <c r="B401" i="5" s="1"/>
  <c r="B402" i="5" s="1"/>
  <c r="B403" i="5" s="1"/>
  <c r="B404" i="5" s="1"/>
  <c r="B405" i="5" s="1"/>
  <c r="H126" i="5"/>
  <c r="H125" i="5"/>
  <c r="H123" i="5"/>
  <c r="V124" i="5"/>
  <c r="AB122" i="5"/>
  <c r="V122" i="5"/>
  <c r="AB120" i="5"/>
  <c r="AB121" i="5"/>
  <c r="T124" i="5" l="1"/>
  <c r="H124" i="5" s="1"/>
  <c r="T122" i="5"/>
  <c r="H122" i="5" s="1"/>
  <c r="V121" i="5"/>
  <c r="V120" i="5"/>
  <c r="AB106" i="5"/>
  <c r="AB107" i="5"/>
  <c r="AB108" i="5"/>
  <c r="AB109" i="5"/>
  <c r="AB110" i="5"/>
  <c r="AB111" i="5"/>
  <c r="AB112" i="5"/>
  <c r="AB113" i="5"/>
  <c r="AB114" i="5"/>
  <c r="AB115" i="5"/>
  <c r="AB116" i="5"/>
  <c r="AB117" i="5"/>
  <c r="AB118" i="5"/>
  <c r="AB119" i="5"/>
  <c r="V114" i="5"/>
  <c r="V113" i="5"/>
  <c r="V112" i="5"/>
  <c r="V111" i="5"/>
  <c r="H111" i="5" s="1"/>
  <c r="V109" i="5"/>
  <c r="H109" i="5" s="1"/>
  <c r="U109" i="5" l="1"/>
  <c r="U111" i="5"/>
  <c r="T120" i="5"/>
  <c r="H120" i="5" s="1"/>
  <c r="T121" i="5"/>
  <c r="H121" i="5" s="1"/>
  <c r="V119" i="5"/>
  <c r="H119" i="5" s="1"/>
  <c r="V118" i="5"/>
  <c r="H118" i="5" s="1"/>
  <c r="V106" i="5"/>
  <c r="H106" i="5" s="1"/>
  <c r="V107" i="5"/>
  <c r="H107" i="5" s="1"/>
  <c r="V108" i="5"/>
  <c r="H108" i="5" s="1"/>
  <c r="V117" i="5"/>
  <c r="H117" i="5" s="1"/>
  <c r="V116" i="5"/>
  <c r="V115" i="5"/>
  <c r="V110" i="5"/>
  <c r="T113" i="5"/>
  <c r="H113" i="5" s="1"/>
  <c r="T114" i="5"/>
  <c r="H114" i="5" s="1"/>
  <c r="T111" i="5"/>
  <c r="T112" i="5"/>
  <c r="H112" i="5" s="1"/>
  <c r="T109" i="5"/>
  <c r="T118" i="5" l="1"/>
  <c r="T119" i="5"/>
  <c r="T110" i="5"/>
  <c r="H110" i="5" s="1"/>
  <c r="T115" i="5"/>
  <c r="H115" i="5" s="1"/>
  <c r="U107" i="5"/>
  <c r="T107" i="5"/>
  <c r="T117" i="5"/>
  <c r="U117" i="5"/>
  <c r="U108" i="5"/>
  <c r="U106" i="5"/>
  <c r="U118" i="5"/>
  <c r="U119" i="5"/>
  <c r="T108" i="5"/>
  <c r="T106" i="5"/>
  <c r="T116" i="5"/>
  <c r="H116" i="5" s="1"/>
  <c r="AB97" i="5"/>
  <c r="AB98" i="5"/>
  <c r="AB99" i="5"/>
  <c r="AB100" i="5"/>
  <c r="AB101" i="5"/>
  <c r="AB102" i="5"/>
  <c r="AB103" i="5"/>
  <c r="AB104" i="5"/>
  <c r="AB105" i="5"/>
  <c r="V104" i="5"/>
  <c r="H104" i="5" s="1"/>
  <c r="V103" i="5"/>
  <c r="H103" i="5" s="1"/>
  <c r="V102" i="5"/>
  <c r="T104" i="5" l="1"/>
  <c r="U104" i="5"/>
  <c r="T103" i="5"/>
  <c r="U103" i="5"/>
  <c r="V105" i="5"/>
  <c r="H105" i="5" s="1"/>
  <c r="T102" i="5"/>
  <c r="H102" i="5" s="1"/>
  <c r="T105" i="5" l="1"/>
  <c r="U105" i="5"/>
  <c r="V100" i="5"/>
  <c r="H100" i="5" s="1"/>
  <c r="V98" i="5"/>
  <c r="V101" i="5"/>
  <c r="H101" i="5" s="1"/>
  <c r="V99" i="5"/>
  <c r="H99" i="5" s="1"/>
  <c r="V97" i="5"/>
  <c r="V95" i="5"/>
  <c r="H95" i="5" s="1"/>
  <c r="T97" i="5" l="1"/>
  <c r="H97" i="5" s="1"/>
  <c r="T98" i="5"/>
  <c r="H98" i="5" s="1"/>
  <c r="T95" i="5"/>
  <c r="U95" i="5"/>
  <c r="U99" i="5"/>
  <c r="T101" i="5"/>
  <c r="U101" i="5"/>
  <c r="U100" i="5"/>
  <c r="T100" i="5"/>
  <c r="T99" i="5"/>
  <c r="AB86" i="5"/>
  <c r="AB87" i="5"/>
  <c r="AB88" i="5"/>
  <c r="AB89" i="5"/>
  <c r="AB90" i="5"/>
  <c r="AB91" i="5"/>
  <c r="AB92" i="5"/>
  <c r="AB93" i="5"/>
  <c r="AB94" i="5"/>
  <c r="AB96" i="5"/>
  <c r="V96" i="5" l="1"/>
  <c r="V90" i="5"/>
  <c r="H90" i="5" s="1"/>
  <c r="V87" i="5"/>
  <c r="V86" i="5"/>
  <c r="H86" i="5" s="1"/>
  <c r="V89" i="5"/>
  <c r="V94" i="5"/>
  <c r="H94" i="5" s="1"/>
  <c r="V93" i="5"/>
  <c r="V92" i="5"/>
  <c r="V91" i="5"/>
  <c r="H91" i="5" s="1"/>
  <c r="V88" i="5"/>
  <c r="H88" i="5" s="1"/>
  <c r="T88" i="5" l="1"/>
  <c r="U88" i="5"/>
  <c r="U94" i="5"/>
  <c r="U86" i="5"/>
  <c r="T90" i="5"/>
  <c r="U90" i="5"/>
  <c r="T96" i="5"/>
  <c r="H96" i="5" s="1"/>
  <c r="T91" i="5"/>
  <c r="U91" i="5"/>
  <c r="T93" i="5"/>
  <c r="H93" i="5" s="1"/>
  <c r="T89" i="5"/>
  <c r="H89" i="5" s="1"/>
  <c r="T87" i="5"/>
  <c r="H87" i="5" s="1"/>
  <c r="T86" i="5"/>
  <c r="T92" i="5"/>
  <c r="H92" i="5" s="1"/>
  <c r="T94" i="5"/>
  <c r="AB71" i="5" l="1"/>
  <c r="AB72" i="5"/>
  <c r="AB73" i="5"/>
  <c r="AB74" i="5"/>
  <c r="AB75" i="5"/>
  <c r="AB76" i="5"/>
  <c r="AB77" i="5"/>
  <c r="AB78" i="5"/>
  <c r="AB79" i="5"/>
  <c r="AB80" i="5"/>
  <c r="AB81" i="5"/>
  <c r="AB82" i="5"/>
  <c r="AB83" i="5"/>
  <c r="AB84" i="5"/>
  <c r="AB85" i="5"/>
  <c r="V75" i="5" l="1"/>
  <c r="H75" i="5" s="1"/>
  <c r="V76" i="5"/>
  <c r="H76" i="5" s="1"/>
  <c r="V74" i="5"/>
  <c r="H74" i="5" s="1"/>
  <c r="V79" i="5"/>
  <c r="V77" i="5"/>
  <c r="V80" i="5"/>
  <c r="H80" i="5" s="1"/>
  <c r="V73" i="5"/>
  <c r="H73" i="5" s="1"/>
  <c r="V84" i="5"/>
  <c r="H84" i="5" s="1"/>
  <c r="V83" i="5"/>
  <c r="H83" i="5" s="1"/>
  <c r="V82" i="5"/>
  <c r="H82" i="5" s="1"/>
  <c r="V81" i="5"/>
  <c r="H81" i="5" s="1"/>
  <c r="V78" i="5"/>
  <c r="H78" i="5" s="1"/>
  <c r="V72" i="5"/>
  <c r="V85" i="5"/>
  <c r="H85" i="5" s="1"/>
  <c r="T85" i="5" l="1"/>
  <c r="U85" i="5"/>
  <c r="T78" i="5"/>
  <c r="U78" i="5"/>
  <c r="T81" i="5"/>
  <c r="U81" i="5"/>
  <c r="T82" i="5"/>
  <c r="U82" i="5"/>
  <c r="T83" i="5"/>
  <c r="U83" i="5"/>
  <c r="T84" i="5"/>
  <c r="U84" i="5"/>
  <c r="T73" i="5"/>
  <c r="U73" i="5"/>
  <c r="T80" i="5"/>
  <c r="U80" i="5"/>
  <c r="T77" i="5"/>
  <c r="H77" i="5" s="1"/>
  <c r="T79" i="5"/>
  <c r="H79" i="5" s="1"/>
  <c r="T72" i="5"/>
  <c r="H72" i="5" s="1"/>
  <c r="T74" i="5"/>
  <c r="U74" i="5"/>
  <c r="T76" i="5"/>
  <c r="U76" i="5"/>
  <c r="T75" i="5"/>
  <c r="U75" i="5"/>
  <c r="AB50" i="5"/>
  <c r="AB51" i="5"/>
  <c r="AB52" i="5"/>
  <c r="AB53" i="5"/>
  <c r="AB54" i="5"/>
  <c r="AB55" i="5"/>
  <c r="AB56" i="5"/>
  <c r="AB57" i="5"/>
  <c r="AB58" i="5"/>
  <c r="AB59" i="5"/>
  <c r="AB60" i="5"/>
  <c r="AB61" i="5"/>
  <c r="AB62" i="5"/>
  <c r="AB63" i="5"/>
  <c r="AB64" i="5"/>
  <c r="AB65" i="5"/>
  <c r="AB66" i="5"/>
  <c r="AB67" i="5"/>
  <c r="AB68" i="5"/>
  <c r="AB69" i="5"/>
  <c r="AB70" i="5"/>
  <c r="V69" i="5" l="1"/>
  <c r="H69" i="5" s="1"/>
  <c r="V68" i="5"/>
  <c r="H68" i="5" s="1"/>
  <c r="V62" i="5"/>
  <c r="H62" i="5" s="1"/>
  <c r="V54" i="5"/>
  <c r="H54" i="5" s="1"/>
  <c r="V59" i="5"/>
  <c r="H59" i="5" s="1"/>
  <c r="V51" i="5"/>
  <c r="H51" i="5" s="1"/>
  <c r="V53" i="5"/>
  <c r="H53" i="5" s="1"/>
  <c r="V57" i="5"/>
  <c r="H57" i="5" s="1"/>
  <c r="V71" i="5"/>
  <c r="H71" i="5" s="1"/>
  <c r="V61" i="5"/>
  <c r="H61" i="5" s="1"/>
  <c r="V60" i="5"/>
  <c r="H60" i="5" s="1"/>
  <c r="V56" i="5"/>
  <c r="H56" i="5" s="1"/>
  <c r="V52" i="5"/>
  <c r="H52" i="5" s="1"/>
  <c r="V50" i="5"/>
  <c r="H50" i="5" s="1"/>
  <c r="V55" i="5"/>
  <c r="H55" i="5" s="1"/>
  <c r="V70" i="5"/>
  <c r="V58" i="5"/>
  <c r="H58" i="5" s="1"/>
  <c r="V65" i="5"/>
  <c r="H65" i="5" s="1"/>
  <c r="V64" i="5"/>
  <c r="H64" i="5" s="1"/>
  <c r="V63" i="5"/>
  <c r="H63" i="5" s="1"/>
  <c r="V67" i="5"/>
  <c r="V66" i="5"/>
  <c r="H66" i="5" s="1"/>
  <c r="T66" i="5" l="1"/>
  <c r="U66" i="5"/>
  <c r="T63" i="5"/>
  <c r="U63" i="5"/>
  <c r="T65" i="5"/>
  <c r="U65" i="5"/>
  <c r="U58" i="5"/>
  <c r="U55" i="5"/>
  <c r="U52" i="5"/>
  <c r="U56" i="5"/>
  <c r="U54" i="5"/>
  <c r="U62" i="5"/>
  <c r="T67" i="5"/>
  <c r="H67" i="5" s="1"/>
  <c r="T64" i="5"/>
  <c r="U64" i="5"/>
  <c r="T70" i="5"/>
  <c r="H70" i="5" s="1"/>
  <c r="U50" i="5"/>
  <c r="U60" i="5"/>
  <c r="U61" i="5"/>
  <c r="T71" i="5"/>
  <c r="U71" i="5"/>
  <c r="U57" i="5"/>
  <c r="U53" i="5"/>
  <c r="U51" i="5"/>
  <c r="U59" i="5"/>
  <c r="T68" i="5"/>
  <c r="U68" i="5"/>
  <c r="T69" i="5"/>
  <c r="U69" i="5"/>
  <c r="T61" i="5"/>
  <c r="T62" i="5"/>
  <c r="T60" i="5"/>
  <c r="T59" i="5"/>
  <c r="T58" i="5"/>
  <c r="T56" i="5"/>
  <c r="T57" i="5"/>
  <c r="T55" i="5"/>
  <c r="T54" i="5" l="1"/>
  <c r="T53" i="5"/>
  <c r="T50" i="5" l="1"/>
  <c r="T52" i="5"/>
  <c r="T51" i="5"/>
  <c r="AB33" i="5" l="1"/>
  <c r="AB34" i="5"/>
  <c r="AB35" i="5"/>
  <c r="AB36" i="5"/>
  <c r="AB37" i="5"/>
  <c r="AB38" i="5"/>
  <c r="AB39" i="5"/>
  <c r="AB40" i="5"/>
  <c r="AB41" i="5"/>
  <c r="AB42" i="5"/>
  <c r="AB43" i="5"/>
  <c r="AB44" i="5"/>
  <c r="AB45" i="5"/>
  <c r="AB46" i="5"/>
  <c r="AB47" i="5"/>
  <c r="AB48" i="5"/>
  <c r="AB49" i="5"/>
  <c r="AB32" i="5"/>
  <c r="AB29" i="5"/>
  <c r="AB30" i="5"/>
  <c r="AB31" i="5"/>
  <c r="AB27" i="5"/>
  <c r="AB28" i="5"/>
  <c r="AB7" i="5"/>
  <c r="AB8" i="5"/>
  <c r="AB9" i="5"/>
  <c r="AB10" i="5"/>
  <c r="AB11" i="5"/>
  <c r="AB12" i="5"/>
  <c r="AB13" i="5"/>
  <c r="AB14" i="5"/>
  <c r="AB15" i="5"/>
  <c r="AB16" i="5"/>
  <c r="AB17" i="5"/>
  <c r="AB18" i="5"/>
  <c r="AB19" i="5"/>
  <c r="AB20" i="5"/>
  <c r="AB21" i="5"/>
  <c r="AB22" i="5"/>
  <c r="AB23" i="5"/>
  <c r="AB24" i="5"/>
  <c r="AB25" i="5"/>
  <c r="AB26" i="5"/>
  <c r="AB5" i="5"/>
  <c r="AB6" i="5"/>
  <c r="V33" i="5" l="1"/>
  <c r="H33" i="5" s="1"/>
  <c r="V32" i="5"/>
  <c r="H32" i="5" s="1"/>
  <c r="V31" i="5"/>
  <c r="H31" i="5" s="1"/>
  <c r="V27" i="5"/>
  <c r="H27" i="5" s="1"/>
  <c r="V38" i="5"/>
  <c r="H38" i="5" s="1"/>
  <c r="V30" i="5"/>
  <c r="H30" i="5" s="1"/>
  <c r="V40" i="5"/>
  <c r="H40" i="5" s="1"/>
  <c r="V35" i="5"/>
  <c r="H35" i="5" s="1"/>
  <c r="V26" i="5"/>
  <c r="V37" i="5"/>
  <c r="H37" i="5" s="1"/>
  <c r="V29" i="5"/>
  <c r="H29" i="5" s="1"/>
  <c r="V41" i="5"/>
  <c r="H41" i="5" s="1"/>
  <c r="V34" i="5"/>
  <c r="H34" i="5" s="1"/>
  <c r="V43" i="5"/>
  <c r="H43" i="5" s="1"/>
  <c r="V28" i="5"/>
  <c r="H28" i="5" s="1"/>
  <c r="V42" i="5"/>
  <c r="V46" i="5"/>
  <c r="H46" i="5" s="1"/>
  <c r="V49" i="5"/>
  <c r="H49" i="5" s="1"/>
  <c r="V48" i="5"/>
  <c r="H48" i="5" s="1"/>
  <c r="V47" i="5"/>
  <c r="H47" i="5" s="1"/>
  <c r="V39" i="5"/>
  <c r="H39" i="5" s="1"/>
  <c r="V45" i="5"/>
  <c r="H45" i="5" s="1"/>
  <c r="V44" i="5"/>
  <c r="H44" i="5" s="1"/>
  <c r="V36" i="5"/>
  <c r="H36" i="5" s="1"/>
  <c r="V10" i="5"/>
  <c r="V12" i="5"/>
  <c r="V15" i="5"/>
  <c r="H15" i="5" s="1"/>
  <c r="V9" i="5"/>
  <c r="V17" i="5"/>
  <c r="H17" i="5" s="1"/>
  <c r="U17" i="5" l="1"/>
  <c r="U15" i="5"/>
  <c r="U44" i="5"/>
  <c r="U39" i="5"/>
  <c r="T48" i="5"/>
  <c r="U48" i="5"/>
  <c r="T46" i="5"/>
  <c r="U46" i="5"/>
  <c r="T28" i="5"/>
  <c r="U28" i="5"/>
  <c r="T43" i="5"/>
  <c r="U43" i="5"/>
  <c r="T34" i="5"/>
  <c r="U34" i="5"/>
  <c r="T41" i="5"/>
  <c r="U41" i="5"/>
  <c r="T29" i="5"/>
  <c r="U29" i="5"/>
  <c r="T37" i="5"/>
  <c r="U37" i="5"/>
  <c r="T35" i="5"/>
  <c r="U35" i="5"/>
  <c r="T40" i="5"/>
  <c r="U40" i="5"/>
  <c r="T30" i="5"/>
  <c r="U30" i="5"/>
  <c r="T38" i="5"/>
  <c r="U38" i="5"/>
  <c r="U27" i="5"/>
  <c r="T31" i="5"/>
  <c r="U31" i="5"/>
  <c r="T32" i="5"/>
  <c r="U32" i="5"/>
  <c r="T33" i="5"/>
  <c r="U33" i="5"/>
  <c r="T36" i="5"/>
  <c r="U36" i="5"/>
  <c r="T45" i="5"/>
  <c r="U45" i="5"/>
  <c r="U47" i="5"/>
  <c r="T49" i="5"/>
  <c r="U49" i="5"/>
  <c r="T27" i="5"/>
  <c r="T42" i="5"/>
  <c r="H42" i="5" s="1"/>
  <c r="T44" i="5"/>
  <c r="T39" i="5"/>
  <c r="T47" i="5"/>
  <c r="V25" i="5"/>
  <c r="H25" i="5" s="1"/>
  <c r="T26" i="5"/>
  <c r="H26" i="5" s="1"/>
  <c r="V24" i="5"/>
  <c r="H24" i="5" s="1"/>
  <c r="V16" i="5"/>
  <c r="H16" i="5" s="1"/>
  <c r="V23" i="5"/>
  <c r="T15" i="5"/>
  <c r="V14" i="5"/>
  <c r="H14" i="5" s="1"/>
  <c r="V13" i="5"/>
  <c r="H13" i="5" s="1"/>
  <c r="T17" i="5"/>
  <c r="T12" i="5"/>
  <c r="H12" i="5" s="1"/>
  <c r="V19" i="5"/>
  <c r="H19" i="5" s="1"/>
  <c r="V11" i="5"/>
  <c r="H11" i="5" s="1"/>
  <c r="T10" i="5"/>
  <c r="H10" i="5" s="1"/>
  <c r="T9" i="5"/>
  <c r="H9" i="5" s="1"/>
  <c r="T19" i="5" l="1"/>
  <c r="U19" i="5"/>
  <c r="T14" i="5"/>
  <c r="U14" i="5"/>
  <c r="T23" i="5"/>
  <c r="H23" i="5" s="1"/>
  <c r="T24" i="5"/>
  <c r="U24" i="5"/>
  <c r="T25" i="5"/>
  <c r="U25" i="5"/>
  <c r="T11" i="5"/>
  <c r="U11" i="5"/>
  <c r="T13" i="5"/>
  <c r="U13" i="5"/>
  <c r="T16" i="5"/>
  <c r="U16" i="5"/>
  <c r="V7" i="5"/>
  <c r="V8" i="5"/>
  <c r="V20" i="5"/>
  <c r="H20" i="5" s="1"/>
  <c r="V18" i="5"/>
  <c r="V21" i="5"/>
  <c r="H21" i="5" s="1"/>
  <c r="V22" i="5"/>
  <c r="T21" i="5" l="1"/>
  <c r="U21" i="5"/>
  <c r="T20" i="5"/>
  <c r="U20" i="5"/>
  <c r="T7" i="5"/>
  <c r="H7" i="5" s="1"/>
  <c r="T22" i="5"/>
  <c r="H22" i="5" s="1"/>
  <c r="T18" i="5"/>
  <c r="H18" i="5" s="1"/>
  <c r="T8" i="5"/>
  <c r="H8" i="5" s="1"/>
  <c r="V6" i="5"/>
  <c r="H6" i="5" s="1"/>
  <c r="V5" i="5"/>
  <c r="T6" i="5" l="1"/>
  <c r="U6" i="5"/>
  <c r="T5" i="5"/>
  <c r="H5" i="5" s="1"/>
  <c r="V410" i="5"/>
  <c r="W410" i="5"/>
  <c r="V411" i="5"/>
  <c r="W411" i="5"/>
  <c r="V412" i="5"/>
  <c r="W412" i="5"/>
  <c r="V413" i="5"/>
  <c r="W413" i="5"/>
  <c r="V414" i="5"/>
  <c r="W414" i="5"/>
  <c r="V415" i="5"/>
  <c r="W415" i="5"/>
  <c r="V416" i="5"/>
  <c r="W416" i="5"/>
  <c r="V417" i="5"/>
  <c r="W417" i="5"/>
  <c r="V418" i="5"/>
  <c r="W418" i="5"/>
  <c r="V419" i="5"/>
  <c r="W419" i="5"/>
  <c r="V420" i="5"/>
  <c r="W420" i="5"/>
  <c r="V421" i="5"/>
  <c r="W421" i="5"/>
  <c r="V422" i="5"/>
  <c r="W422" i="5"/>
  <c r="V423" i="5"/>
  <c r="W423" i="5"/>
  <c r="V424" i="5"/>
  <c r="W424" i="5"/>
  <c r="V425" i="5"/>
  <c r="W425" i="5"/>
  <c r="V426" i="5"/>
  <c r="W426" i="5"/>
  <c r="V427" i="5"/>
  <c r="W427" i="5"/>
  <c r="V428" i="5"/>
  <c r="W428" i="5"/>
  <c r="V429" i="5"/>
  <c r="W429" i="5"/>
  <c r="V430" i="5"/>
  <c r="W430" i="5"/>
  <c r="V431" i="5"/>
  <c r="W431" i="5"/>
  <c r="V432" i="5"/>
  <c r="W432" i="5"/>
  <c r="V433" i="5"/>
  <c r="W433" i="5"/>
  <c r="V434" i="5"/>
  <c r="W434" i="5"/>
  <c r="V435" i="5"/>
  <c r="W435" i="5"/>
  <c r="V436" i="5"/>
  <c r="W436" i="5"/>
  <c r="V437" i="5"/>
  <c r="W437" i="5"/>
  <c r="V438" i="5"/>
  <c r="W438" i="5"/>
  <c r="V439" i="5"/>
  <c r="W439" i="5"/>
  <c r="V440" i="5"/>
  <c r="W440" i="5"/>
  <c r="V441" i="5"/>
  <c r="W441" i="5"/>
  <c r="V442" i="5"/>
  <c r="W442" i="5"/>
  <c r="V443" i="5"/>
  <c r="W443" i="5"/>
  <c r="AB2" i="5" l="1"/>
  <c r="U401" i="5" l="1"/>
  <c r="U409" i="5"/>
  <c r="U405" i="5"/>
  <c r="U404" i="5"/>
  <c r="U403" i="5"/>
  <c r="U407" i="5"/>
  <c r="U402" i="5"/>
  <c r="U406" i="5"/>
  <c r="U400" i="5"/>
  <c r="U408" i="5"/>
  <c r="U42" i="5"/>
  <c r="U337" i="5"/>
  <c r="U389" i="5"/>
  <c r="U361" i="5"/>
  <c r="U343" i="5"/>
  <c r="U388" i="5"/>
  <c r="U372" i="5"/>
  <c r="U356" i="5"/>
  <c r="U340" i="5"/>
  <c r="U365" i="5"/>
  <c r="U339" i="5"/>
  <c r="U353" i="5"/>
  <c r="U357" i="5"/>
  <c r="U377" i="5"/>
  <c r="U387" i="5"/>
  <c r="U367" i="5"/>
  <c r="U335" i="5"/>
  <c r="U384" i="5"/>
  <c r="U368" i="5"/>
  <c r="U352" i="5"/>
  <c r="U336" i="5"/>
  <c r="U345" i="5"/>
  <c r="U379" i="5"/>
  <c r="U363" i="5"/>
  <c r="U382" i="5"/>
  <c r="U350" i="5"/>
  <c r="U383" i="5"/>
  <c r="U392" i="5"/>
  <c r="U360" i="5"/>
  <c r="U397" i="5"/>
  <c r="U375" i="5"/>
  <c r="U347" i="5"/>
  <c r="U358" i="5"/>
  <c r="U371" i="5"/>
  <c r="U370" i="5"/>
  <c r="U385" i="5"/>
  <c r="U398" i="5"/>
  <c r="U366" i="5"/>
  <c r="U390" i="5"/>
  <c r="U338" i="5"/>
  <c r="U369" i="5"/>
  <c r="U349" i="5"/>
  <c r="U399" i="5"/>
  <c r="U359" i="5"/>
  <c r="U396" i="5"/>
  <c r="U380" i="5"/>
  <c r="U364" i="5"/>
  <c r="U348" i="5"/>
  <c r="U381" i="5"/>
  <c r="U351" i="5"/>
  <c r="U344" i="5"/>
  <c r="U342" i="5"/>
  <c r="U386" i="5"/>
  <c r="U391" i="5"/>
  <c r="U373" i="5"/>
  <c r="U355" i="5"/>
  <c r="U394" i="5"/>
  <c r="U378" i="5"/>
  <c r="U362" i="5"/>
  <c r="U346" i="5"/>
  <c r="U341" i="5"/>
  <c r="U376" i="5"/>
  <c r="U393" i="5"/>
  <c r="U374" i="5"/>
  <c r="U395" i="5"/>
  <c r="U354" i="5"/>
  <c r="U332" i="5"/>
  <c r="U333" i="5"/>
  <c r="U317" i="5"/>
  <c r="U330" i="5"/>
  <c r="U331" i="5"/>
  <c r="U334" i="5"/>
  <c r="U318" i="5"/>
  <c r="U328" i="5"/>
  <c r="U329" i="5"/>
  <c r="U322" i="5"/>
  <c r="U323" i="5"/>
  <c r="U320" i="5"/>
  <c r="U321" i="5"/>
  <c r="U326" i="5"/>
  <c r="U327" i="5"/>
  <c r="U319" i="5"/>
  <c r="U324" i="5"/>
  <c r="U325" i="5"/>
  <c r="U259" i="5"/>
  <c r="U261" i="5"/>
  <c r="U263" i="5"/>
  <c r="U265" i="5"/>
  <c r="U267" i="5"/>
  <c r="U269" i="5"/>
  <c r="U271" i="5"/>
  <c r="U273" i="5"/>
  <c r="U275" i="5"/>
  <c r="U277" i="5"/>
  <c r="U279" i="5"/>
  <c r="U281" i="5"/>
  <c r="U283" i="5"/>
  <c r="U285" i="5"/>
  <c r="U287" i="5"/>
  <c r="U289" i="5"/>
  <c r="U291" i="5"/>
  <c r="U293" i="5"/>
  <c r="U295" i="5"/>
  <c r="U297" i="5"/>
  <c r="U299" i="5"/>
  <c r="U301" i="5"/>
  <c r="U303" i="5"/>
  <c r="U305" i="5"/>
  <c r="U307" i="5"/>
  <c r="U309" i="5"/>
  <c r="U311" i="5"/>
  <c r="U313" i="5"/>
  <c r="U315" i="5"/>
  <c r="U260" i="5"/>
  <c r="U262" i="5"/>
  <c r="U264" i="5"/>
  <c r="U266" i="5"/>
  <c r="U268" i="5"/>
  <c r="U270" i="5"/>
  <c r="U272" i="5"/>
  <c r="U274" i="5"/>
  <c r="U276" i="5"/>
  <c r="U278" i="5"/>
  <c r="U280" i="5"/>
  <c r="U282" i="5"/>
  <c r="U284" i="5"/>
  <c r="U286" i="5"/>
  <c r="U288" i="5"/>
  <c r="U290" i="5"/>
  <c r="U292" i="5"/>
  <c r="U294" i="5"/>
  <c r="U296" i="5"/>
  <c r="U298" i="5"/>
  <c r="U300" i="5"/>
  <c r="U302" i="5"/>
  <c r="U304" i="5"/>
  <c r="U306" i="5"/>
  <c r="U308" i="5"/>
  <c r="U310" i="5"/>
  <c r="U312" i="5"/>
  <c r="U314" i="5"/>
  <c r="U316" i="5"/>
  <c r="U233" i="5"/>
  <c r="U236" i="5"/>
  <c r="U238" i="5"/>
  <c r="U241" i="5"/>
  <c r="U244" i="5"/>
  <c r="U246" i="5"/>
  <c r="U249" i="5"/>
  <c r="U252" i="5"/>
  <c r="U254" i="5"/>
  <c r="U257" i="5"/>
  <c r="U220" i="5"/>
  <c r="U231" i="5"/>
  <c r="U258" i="5"/>
  <c r="U228" i="5"/>
  <c r="U232" i="5"/>
  <c r="U234" i="5"/>
  <c r="U237" i="5"/>
  <c r="U240" i="5"/>
  <c r="U242" i="5"/>
  <c r="U245" i="5"/>
  <c r="U248" i="5"/>
  <c r="U250" i="5"/>
  <c r="U253" i="5"/>
  <c r="U256" i="5"/>
  <c r="U229" i="5"/>
  <c r="U225" i="5"/>
  <c r="U221" i="5"/>
  <c r="U224" i="5"/>
  <c r="U251" i="5"/>
  <c r="U243" i="5"/>
  <c r="U235" i="5"/>
  <c r="U226" i="5"/>
  <c r="U222" i="5"/>
  <c r="U227" i="5"/>
  <c r="U223" i="5"/>
  <c r="U219" i="5"/>
  <c r="U255" i="5"/>
  <c r="U247" i="5"/>
  <c r="U239" i="5"/>
  <c r="U230" i="5"/>
  <c r="U181" i="5"/>
  <c r="U183" i="5"/>
  <c r="U185" i="5"/>
  <c r="U187" i="5"/>
  <c r="U189" i="5"/>
  <c r="U191" i="5"/>
  <c r="U193" i="5"/>
  <c r="U195" i="5"/>
  <c r="U197" i="5"/>
  <c r="U199" i="5"/>
  <c r="U201" i="5"/>
  <c r="U203" i="5"/>
  <c r="U205" i="5"/>
  <c r="U207" i="5"/>
  <c r="U209" i="5"/>
  <c r="U211" i="5"/>
  <c r="U213" i="5"/>
  <c r="U215" i="5"/>
  <c r="U217" i="5"/>
  <c r="U182" i="5"/>
  <c r="U184" i="5"/>
  <c r="U186" i="5"/>
  <c r="U188" i="5"/>
  <c r="U190" i="5"/>
  <c r="U192" i="5"/>
  <c r="U194" i="5"/>
  <c r="U196" i="5"/>
  <c r="U198" i="5"/>
  <c r="U200" i="5"/>
  <c r="U202" i="5"/>
  <c r="U204" i="5"/>
  <c r="U206" i="5"/>
  <c r="U208" i="5"/>
  <c r="U210" i="5"/>
  <c r="U212" i="5"/>
  <c r="U214" i="5"/>
  <c r="U216" i="5"/>
  <c r="U218" i="5"/>
  <c r="U22" i="5"/>
  <c r="U179" i="5"/>
  <c r="U180" i="5"/>
  <c r="U110" i="5"/>
  <c r="U177" i="5"/>
  <c r="U162" i="5"/>
  <c r="U170" i="5"/>
  <c r="U178" i="5"/>
  <c r="U163" i="5"/>
  <c r="U171" i="5"/>
  <c r="U164" i="5"/>
  <c r="U172" i="5"/>
  <c r="U174" i="5"/>
  <c r="U161" i="5"/>
  <c r="U165" i="5"/>
  <c r="U173" i="5"/>
  <c r="U166" i="5"/>
  <c r="U167" i="5"/>
  <c r="U175" i="5"/>
  <c r="U168" i="5"/>
  <c r="U176" i="5"/>
  <c r="U169" i="5"/>
  <c r="U157" i="5"/>
  <c r="U158" i="5"/>
  <c r="U159" i="5"/>
  <c r="U160" i="5"/>
  <c r="U154" i="5"/>
  <c r="U156" i="5"/>
  <c r="U155" i="5"/>
  <c r="U152" i="5"/>
  <c r="U151" i="5"/>
  <c r="U153" i="5"/>
  <c r="U150" i="5"/>
  <c r="U96" i="5"/>
  <c r="U149" i="5"/>
  <c r="U147" i="5"/>
  <c r="U148" i="5"/>
  <c r="U146" i="5"/>
  <c r="U77" i="5"/>
  <c r="U87" i="5"/>
  <c r="U70" i="5"/>
  <c r="U79" i="5"/>
  <c r="U141" i="5"/>
  <c r="U145" i="5"/>
  <c r="U139" i="5"/>
  <c r="U137" i="5"/>
  <c r="U138" i="5"/>
  <c r="U140" i="5"/>
  <c r="U136" i="5"/>
  <c r="U142" i="5"/>
  <c r="U134" i="5"/>
  <c r="U144" i="5"/>
  <c r="U143" i="5"/>
  <c r="U135" i="5"/>
  <c r="U133" i="5"/>
  <c r="U127" i="5"/>
  <c r="U131" i="5"/>
  <c r="U128" i="5"/>
  <c r="U132" i="5"/>
  <c r="U130" i="5"/>
  <c r="U129" i="5"/>
  <c r="U124" i="5"/>
  <c r="U126" i="5"/>
  <c r="U125" i="5"/>
  <c r="U5" i="5"/>
  <c r="U7" i="5"/>
  <c r="U9" i="5"/>
  <c r="U23" i="5"/>
  <c r="U67" i="5"/>
  <c r="U89" i="5"/>
  <c r="U93" i="5"/>
  <c r="U97" i="5"/>
  <c r="U113" i="5"/>
  <c r="U115" i="5"/>
  <c r="U121" i="5"/>
  <c r="U123" i="5"/>
  <c r="U8" i="5"/>
  <c r="U10" i="5"/>
  <c r="U12" i="5"/>
  <c r="U18" i="5"/>
  <c r="U26" i="5"/>
  <c r="U72" i="5"/>
  <c r="U92" i="5"/>
  <c r="U98" i="5"/>
  <c r="U102" i="5"/>
  <c r="U112" i="5"/>
  <c r="U114" i="5"/>
  <c r="U116" i="5"/>
  <c r="U120" i="5"/>
  <c r="U122" i="5"/>
  <c r="AC2" i="5"/>
  <c r="X2" i="5" l="1"/>
  <c r="W476" i="5"/>
  <c r="V476" i="5"/>
  <c r="W475" i="5"/>
  <c r="V475" i="5"/>
  <c r="W474" i="5"/>
  <c r="V474" i="5"/>
  <c r="W473" i="5"/>
  <c r="V473" i="5"/>
  <c r="W472" i="5"/>
  <c r="V472" i="5"/>
  <c r="W471" i="5"/>
  <c r="V471" i="5"/>
  <c r="W470" i="5"/>
  <c r="V470" i="5"/>
  <c r="W469" i="5"/>
  <c r="V469" i="5"/>
  <c r="W468" i="5"/>
  <c r="V468" i="5"/>
  <c r="W467" i="5"/>
  <c r="V467" i="5"/>
  <c r="W466" i="5"/>
  <c r="V466" i="5"/>
  <c r="W465" i="5"/>
  <c r="V465" i="5"/>
  <c r="W464" i="5"/>
  <c r="V464" i="5"/>
  <c r="W463" i="5"/>
  <c r="V463" i="5"/>
  <c r="W462" i="5"/>
  <c r="V462" i="5"/>
  <c r="W461" i="5"/>
  <c r="V461" i="5"/>
  <c r="W460" i="5"/>
  <c r="V460" i="5"/>
  <c r="W459" i="5"/>
  <c r="V459" i="5"/>
  <c r="W458" i="5"/>
  <c r="V458" i="5"/>
  <c r="W457" i="5"/>
  <c r="V457" i="5"/>
  <c r="W456" i="5"/>
  <c r="V456" i="5"/>
  <c r="W455" i="5"/>
  <c r="V455" i="5"/>
  <c r="W454" i="5"/>
  <c r="V454" i="5"/>
  <c r="W453" i="5"/>
  <c r="V453" i="5"/>
  <c r="W452" i="5"/>
  <c r="V452" i="5"/>
  <c r="W451" i="5"/>
  <c r="V451" i="5"/>
  <c r="W450" i="5"/>
  <c r="V450" i="5"/>
  <c r="W449" i="5"/>
  <c r="V449" i="5"/>
  <c r="W448" i="5"/>
  <c r="V448" i="5"/>
  <c r="W447" i="5"/>
  <c r="V447" i="5"/>
  <c r="W446" i="5"/>
  <c r="V446" i="5"/>
  <c r="W445" i="5"/>
  <c r="V445" i="5"/>
  <c r="W444" i="5"/>
  <c r="V444" i="5"/>
  <c r="Y2"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Consulta - Tabla1" description="Conexión a la consulta 'Tabla1' en el libro." type="5" refreshedVersion="8" background="1" saveData="1">
    <dbPr connection="Provider=Microsoft.Mashup.OleDb.1;Data Source=$Workbook$;Location=Tabla1;Extended Properties=&quot;&quot;" command="SELECT * FROM [Tabla1]"/>
  </connection>
  <connection id="2" xr16:uid="{00000000-0015-0000-FFFF-FFFF01000000}" keepAlive="1" name="Consulta - Tabla1 (2)" description="Conexión a la consulta 'Tabla1 (2)' en el libro." type="5" refreshedVersion="6" background="1" saveData="1">
    <dbPr connection="Provider=Microsoft.Mashup.OleDb.1;Data Source=$Workbook$;Location=Tabla1 (2);Extended Properties=&quot;&quot;" command="SELECT * FROM [Tabla1 (2)]"/>
  </connection>
</connections>
</file>

<file path=xl/sharedStrings.xml><?xml version="1.0" encoding="utf-8"?>
<sst xmlns="http://schemas.openxmlformats.org/spreadsheetml/2006/main" count="6431" uniqueCount="1316">
  <si>
    <t>#</t>
  </si>
  <si>
    <t>% Avance</t>
  </si>
  <si>
    <t>Abierta</t>
  </si>
  <si>
    <t>Cerrada</t>
  </si>
  <si>
    <t xml:space="preserve">Prioridad de Acción </t>
  </si>
  <si>
    <t>Prioridad de Acción</t>
  </si>
  <si>
    <t>En Proceso</t>
  </si>
  <si>
    <t>Proceso</t>
  </si>
  <si>
    <t>No Conformidad</t>
  </si>
  <si>
    <t xml:space="preserve">Observación </t>
  </si>
  <si>
    <t xml:space="preserve">Acuerdo </t>
  </si>
  <si>
    <t xml:space="preserve">Recomendación </t>
  </si>
  <si>
    <t>Origen del Estándar</t>
  </si>
  <si>
    <t>Comité Técnico</t>
  </si>
  <si>
    <t xml:space="preserve">Condición Actual </t>
  </si>
  <si>
    <t>Tipo de Estándar</t>
  </si>
  <si>
    <t>Oportunidad de Mejora</t>
  </si>
  <si>
    <t>GG</t>
  </si>
  <si>
    <t>Gerencia General</t>
  </si>
  <si>
    <t>Origen del Requerimiento</t>
  </si>
  <si>
    <t>Reunión Ordinaria</t>
  </si>
  <si>
    <t>RQ del Área</t>
  </si>
  <si>
    <t xml:space="preserve">RQ de Gerencia </t>
  </si>
  <si>
    <t>AR</t>
  </si>
  <si>
    <t>MA</t>
  </si>
  <si>
    <t>PR</t>
  </si>
  <si>
    <t>IN</t>
  </si>
  <si>
    <t>RE</t>
  </si>
  <si>
    <t>FO</t>
  </si>
  <si>
    <t>ES</t>
  </si>
  <si>
    <t>RL</t>
  </si>
  <si>
    <t xml:space="preserve">Manual </t>
  </si>
  <si>
    <t xml:space="preserve">Procedimiento </t>
  </si>
  <si>
    <t>Instructivo</t>
  </si>
  <si>
    <t>Registro</t>
  </si>
  <si>
    <t>Formato</t>
  </si>
  <si>
    <t>Archivo</t>
  </si>
  <si>
    <t xml:space="preserve">Estándar </t>
  </si>
  <si>
    <t xml:space="preserve">Requerimiento Legal </t>
  </si>
  <si>
    <t xml:space="preserve">Requerimiento Técnico </t>
  </si>
  <si>
    <t>RT</t>
  </si>
  <si>
    <t xml:space="preserve">Tipo </t>
  </si>
  <si>
    <t xml:space="preserve">Quien Revisa </t>
  </si>
  <si>
    <t xml:space="preserve">Quien Aprueba </t>
  </si>
  <si>
    <t>Autoridad que lo RQ</t>
  </si>
  <si>
    <t xml:space="preserve">HOY ES: </t>
  </si>
  <si>
    <t>TIPO</t>
  </si>
  <si>
    <t xml:space="preserve">Próxima Validación </t>
  </si>
  <si>
    <t>Descarted</t>
  </si>
  <si>
    <t>Blocked</t>
  </si>
  <si>
    <t>Done</t>
  </si>
  <si>
    <t xml:space="preserve">Relase Ready </t>
  </si>
  <si>
    <t>Feedback</t>
  </si>
  <si>
    <t>Control de Resultados</t>
  </si>
  <si>
    <t xml:space="preserve">Control de Resultados </t>
  </si>
  <si>
    <t xml:space="preserve">Observaciones Sugerida </t>
  </si>
  <si>
    <t xml:space="preserve">Origin Date </t>
  </si>
  <si>
    <t xml:space="preserve">Físico </t>
  </si>
  <si>
    <t xml:space="preserve">Digital </t>
  </si>
  <si>
    <t>Coordinador de Operaciones</t>
  </si>
  <si>
    <t>AST</t>
  </si>
  <si>
    <t xml:space="preserve">RQ del Cliente  </t>
  </si>
  <si>
    <t>Fecha de Control</t>
  </si>
  <si>
    <t>% de Actividades Atrasadas</t>
  </si>
  <si>
    <t xml:space="preserve">Medio de Control </t>
  </si>
  <si>
    <t>Producto Entregable</t>
  </si>
  <si>
    <t xml:space="preserve">Drive </t>
  </si>
  <si>
    <t xml:space="preserve">Orden de Servicio y/o Requerimiento Legal </t>
  </si>
  <si>
    <t>Days late</t>
  </si>
  <si>
    <t xml:space="preserve">Responsable del Éxito </t>
  </si>
  <si>
    <t xml:space="preserve">Evidencia del Control </t>
  </si>
  <si>
    <t xml:space="preserve">Jeancarlo Aliaga </t>
  </si>
  <si>
    <t>Wilber Osores</t>
  </si>
  <si>
    <t xml:space="preserve">Yuriko Espinoza </t>
  </si>
  <si>
    <t xml:space="preserve">Virtual </t>
  </si>
  <si>
    <t>Tipo de Servicio</t>
  </si>
  <si>
    <t>Consultoría</t>
  </si>
  <si>
    <t xml:space="preserve">Asistencia </t>
  </si>
  <si>
    <t xml:space="preserve">Inducción </t>
  </si>
  <si>
    <t xml:space="preserve">Capacitación </t>
  </si>
  <si>
    <t xml:space="preserve">Entrenamiento </t>
  </si>
  <si>
    <t>Tipo de Intervención</t>
  </si>
  <si>
    <t xml:space="preserve">Facilitador </t>
  </si>
  <si>
    <t xml:space="preserve">Instructor </t>
  </si>
  <si>
    <t xml:space="preserve">Coordinador </t>
  </si>
  <si>
    <t>Proveedor</t>
  </si>
  <si>
    <t xml:space="preserve">Especialista </t>
  </si>
  <si>
    <t xml:space="preserve">Asesoría </t>
  </si>
  <si>
    <t xml:space="preserve">Presencial </t>
  </si>
  <si>
    <t xml:space="preserve">Tipo de Servicio </t>
  </si>
  <si>
    <t xml:space="preserve">Tipo de Intervención </t>
  </si>
  <si>
    <t>Comercialización</t>
  </si>
  <si>
    <r>
      <t xml:space="preserve">Tipo de </t>
    </r>
    <r>
      <rPr>
        <b/>
        <sz val="10"/>
        <color theme="0"/>
        <rFont val="Arial"/>
        <family val="2"/>
      </rPr>
      <t>Requerimiento</t>
    </r>
  </si>
  <si>
    <t>Fiorella Huanuco</t>
  </si>
  <si>
    <t>Asesor / Consultor</t>
  </si>
  <si>
    <t xml:space="preserve">Colaborador </t>
  </si>
  <si>
    <t xml:space="preserve">Héctor Martínez </t>
  </si>
  <si>
    <t>Reunión Extraordinaria</t>
  </si>
  <si>
    <t>DUEÑO DEL PROCESO 
Quien Elabora</t>
  </si>
  <si>
    <t>Gerente de CEDI</t>
  </si>
  <si>
    <t>PC</t>
  </si>
  <si>
    <t>IGP</t>
  </si>
  <si>
    <t>CDG</t>
  </si>
  <si>
    <t xml:space="preserve">Coordinador de Gerencia </t>
  </si>
  <si>
    <t>UAT</t>
  </si>
  <si>
    <t>Unidad de Asesoría Técnica</t>
  </si>
  <si>
    <t>UAL</t>
  </si>
  <si>
    <t>Unidad de Asesoría Legal</t>
  </si>
  <si>
    <t>GCD</t>
  </si>
  <si>
    <t xml:space="preserve">Gerencia de Centro de Distribución  </t>
  </si>
  <si>
    <t>UN</t>
  </si>
  <si>
    <t>Unidad de Negocios</t>
  </si>
  <si>
    <t>CEDI</t>
  </si>
  <si>
    <t xml:space="preserve">Centro de Distribución </t>
  </si>
  <si>
    <t>DDA</t>
  </si>
  <si>
    <t xml:space="preserve">Departamento de Administración </t>
  </si>
  <si>
    <t>ATH</t>
  </si>
  <si>
    <t xml:space="preserve">Área de Talento Humano  </t>
  </si>
  <si>
    <t>ACF</t>
  </si>
  <si>
    <t>Área de Contabilidad y Finanzas</t>
  </si>
  <si>
    <t>AMC</t>
  </si>
  <si>
    <t>Área de Marketing y Comunicaciones</t>
  </si>
  <si>
    <t>DSI</t>
  </si>
  <si>
    <t xml:space="preserve">Departamento de Sistemas Integrados  </t>
  </si>
  <si>
    <t>ACD</t>
  </si>
  <si>
    <t>ASS</t>
  </si>
  <si>
    <t>Área de Seguridad y Salud (SSOMA)</t>
  </si>
  <si>
    <t>AMS</t>
  </si>
  <si>
    <t xml:space="preserve">Área de Mantenimiento y Soporte Técnico </t>
  </si>
  <si>
    <t>DDO</t>
  </si>
  <si>
    <t xml:space="preserve">Departamento de Operaciones </t>
  </si>
  <si>
    <t>CDO</t>
  </si>
  <si>
    <t>ALE</t>
  </si>
  <si>
    <t xml:space="preserve">Área la Logística de Entrada </t>
  </si>
  <si>
    <t>AAC</t>
  </si>
  <si>
    <t>Área de Almacén Central</t>
  </si>
  <si>
    <t>ALS</t>
  </si>
  <si>
    <t>Área de Logística de Salida</t>
  </si>
  <si>
    <t xml:space="preserve">Área de Almacén Central </t>
  </si>
  <si>
    <t>UAS</t>
  </si>
  <si>
    <t>Unidad de accesorios, suministros y repuestos</t>
  </si>
  <si>
    <t>UMA</t>
  </si>
  <si>
    <t>Unidad de Melaminas y aglomerados</t>
  </si>
  <si>
    <t>UDP</t>
  </si>
  <si>
    <t xml:space="preserve">Unidad de Desarrollo de nuevos productos </t>
  </si>
  <si>
    <t>DDP</t>
  </si>
  <si>
    <t xml:space="preserve">Departamento de Producción  </t>
  </si>
  <si>
    <t>UMP</t>
  </si>
  <si>
    <t xml:space="preserve">Unidad de Almacén de Materia Prima </t>
  </si>
  <si>
    <t>ULP</t>
  </si>
  <si>
    <t>Unidad de Líneas de Producción</t>
  </si>
  <si>
    <t>UPT</t>
  </si>
  <si>
    <t xml:space="preserve">Unidad de Almacén de Producto Terminado </t>
  </si>
  <si>
    <t>DDC</t>
  </si>
  <si>
    <t xml:space="preserve">Departamento de Comercialización  </t>
  </si>
  <si>
    <t>AIC</t>
  </si>
  <si>
    <t>Área de Inteligencia Comercial (Preventas)</t>
  </si>
  <si>
    <t>Área de Ventas y Atención al Cliente (Ventas)</t>
  </si>
  <si>
    <t>APV</t>
  </si>
  <si>
    <t xml:space="preserve">Área de Post Ventas </t>
  </si>
  <si>
    <t>UDN</t>
  </si>
  <si>
    <t>Unidad de Negocio y Centros de Distribución</t>
  </si>
  <si>
    <t>UDN Novocentro Universal SAC</t>
  </si>
  <si>
    <t xml:space="preserve">CEDI El Tambo </t>
  </si>
  <si>
    <t xml:space="preserve">CEDI Saños </t>
  </si>
  <si>
    <t xml:space="preserve">CEDI Chilca </t>
  </si>
  <si>
    <t>CEDI Chupaca</t>
  </si>
  <si>
    <t>CEDI Almacén Central</t>
  </si>
  <si>
    <t>UDN Industrias Jhair EIRL</t>
  </si>
  <si>
    <t>CEDI Tarapacá</t>
  </si>
  <si>
    <t xml:space="preserve">CEDI Lorente </t>
  </si>
  <si>
    <t>UDN Ayacucho (Universal SACC)</t>
  </si>
  <si>
    <t>UDN Huánuco (Emanuel SAC-9</t>
  </si>
  <si>
    <t>UDN Servicios Integrales EIRL</t>
  </si>
  <si>
    <t>UDN Universal Melaminas y Tableros</t>
  </si>
  <si>
    <t>Tipo de documento según la Jerarquía de Documentos.</t>
  </si>
  <si>
    <t>ABREV.</t>
  </si>
  <si>
    <t>TIPO DE DOCUMENTO</t>
  </si>
  <si>
    <t xml:space="preserve">Programa y Cronograma </t>
  </si>
  <si>
    <t>Informe de Gestión del Proceso</t>
  </si>
  <si>
    <t xml:space="preserve">Ruzmery Peralta </t>
  </si>
  <si>
    <t>Mayumi Osores</t>
  </si>
  <si>
    <t>Yuriko Espinoza</t>
  </si>
  <si>
    <t>Sayuri Chauca</t>
  </si>
  <si>
    <t>Quien revisa</t>
  </si>
  <si>
    <t>Jefe del DSI</t>
  </si>
  <si>
    <t>Jefe del DDO</t>
  </si>
  <si>
    <t>Jefe del DDP</t>
  </si>
  <si>
    <t>Jefe del DDC</t>
  </si>
  <si>
    <t>Gerente CEDI</t>
  </si>
  <si>
    <t>Coordinador DO</t>
  </si>
  <si>
    <t xml:space="preserve">Unidad de Negocio </t>
  </si>
  <si>
    <t xml:space="preserve">Periodicidad de Revisión </t>
  </si>
  <si>
    <t xml:space="preserve">Diario </t>
  </si>
  <si>
    <t xml:space="preserve">Vigente </t>
  </si>
  <si>
    <t xml:space="preserve">Mensual </t>
  </si>
  <si>
    <t>En revisión</t>
  </si>
  <si>
    <t xml:space="preserve">Trimestral </t>
  </si>
  <si>
    <t xml:space="preserve">Periodo de Prueba </t>
  </si>
  <si>
    <t xml:space="preserve">Semestral </t>
  </si>
  <si>
    <t xml:space="preserve">Anual </t>
  </si>
  <si>
    <t xml:space="preserve">Formato </t>
  </si>
  <si>
    <t>EXCEL</t>
  </si>
  <si>
    <t>WORD</t>
  </si>
  <si>
    <t>PPT</t>
  </si>
  <si>
    <t>PDF</t>
  </si>
  <si>
    <t>OTROS</t>
  </si>
  <si>
    <t xml:space="preserve">PRIODIDAD DE ATENCIÓN  </t>
  </si>
  <si>
    <t>Gerente General</t>
  </si>
  <si>
    <t>Jefe del DDA</t>
  </si>
  <si>
    <t>Frecuencia de Control  en días</t>
  </si>
  <si>
    <t>Coordinador DG</t>
  </si>
  <si>
    <t xml:space="preserve">Freelance </t>
  </si>
  <si>
    <r>
      <t xml:space="preserve">Fecha de Compromiso
</t>
    </r>
    <r>
      <rPr>
        <b/>
        <sz val="11"/>
        <color rgb="FFFFC000"/>
        <rFont val="Arial"/>
        <family val="2"/>
      </rPr>
      <t>Deliver Date</t>
    </r>
  </si>
  <si>
    <r>
      <t xml:space="preserve">Fecha de Entrega
</t>
    </r>
    <r>
      <rPr>
        <b/>
        <sz val="11"/>
        <color rgb="FFFFC000"/>
        <rFont val="Arial"/>
        <family val="2"/>
      </rPr>
      <t>End Date</t>
    </r>
  </si>
  <si>
    <t>POI: 2024-2025</t>
  </si>
  <si>
    <r>
      <t xml:space="preserve">UN: </t>
    </r>
    <r>
      <rPr>
        <b/>
        <sz val="14"/>
        <color rgb="FF66FFCC"/>
        <rFont val="Arial"/>
        <family val="2"/>
      </rPr>
      <t>100</t>
    </r>
  </si>
  <si>
    <r>
      <t xml:space="preserve">Código: </t>
    </r>
    <r>
      <rPr>
        <b/>
        <sz val="12"/>
        <color rgb="FF66FFCC"/>
        <rFont val="Arial"/>
        <family val="2"/>
      </rPr>
      <t>RE-ACD-DSI-GG-5</t>
    </r>
  </si>
  <si>
    <r>
      <t>Description of the Activity
(</t>
    </r>
    <r>
      <rPr>
        <b/>
        <sz val="11"/>
        <color rgb="FFFFC000"/>
        <rFont val="Arial"/>
        <family val="2"/>
      </rPr>
      <t>BACKLOG</t>
    </r>
    <r>
      <rPr>
        <b/>
        <sz val="11"/>
        <color theme="0"/>
        <rFont val="Arial"/>
        <family val="2"/>
      </rPr>
      <t>)</t>
    </r>
  </si>
  <si>
    <r>
      <t>DEVELOPMENT 
(</t>
    </r>
    <r>
      <rPr>
        <b/>
        <sz val="11"/>
        <color rgb="FFFFC000"/>
        <rFont val="Arial"/>
        <family val="2"/>
      </rPr>
      <t>DOING</t>
    </r>
    <r>
      <rPr>
        <b/>
        <sz val="11"/>
        <color theme="0"/>
        <rFont val="Arial"/>
        <family val="2"/>
      </rPr>
      <t>)</t>
    </r>
  </si>
  <si>
    <r>
      <t xml:space="preserve">Responsable del Éxito
</t>
    </r>
    <r>
      <rPr>
        <b/>
        <sz val="11"/>
        <color rgb="FFFFC000"/>
        <rFont val="Arial"/>
        <family val="2"/>
      </rPr>
      <t>Process owner</t>
    </r>
  </si>
  <si>
    <t>AVC</t>
  </si>
  <si>
    <t xml:space="preserve">Acta de Reunión </t>
  </si>
  <si>
    <t>ATH-DDA</t>
  </si>
  <si>
    <t>Sin Acta</t>
  </si>
  <si>
    <t xml:space="preserve">Gerencia de Centro de Distribución </t>
  </si>
  <si>
    <t>Área de Calidad, Innovación y Desarrollo</t>
  </si>
  <si>
    <t xml:space="preserve">Área de Sistemas y Tecnologías de la Información </t>
  </si>
  <si>
    <t>Angela Huiza</t>
  </si>
  <si>
    <t>Noelia Acuña</t>
  </si>
  <si>
    <t>Jean Carlos</t>
  </si>
  <si>
    <t>No se tiene la solicitud del primer MA de las siguientes áreas: AAC</t>
  </si>
  <si>
    <t>No se tiene la solicitud del primer MA de las siguientes áreas: ALE</t>
  </si>
  <si>
    <t>Acta de R. N°004-ACD de fecha 27FEB25.</t>
  </si>
  <si>
    <t>Acta de R. N°005-ACD de fecha 27FEB25.</t>
  </si>
  <si>
    <t>Solicitar el primer MA de la siguiente área: AAC</t>
  </si>
  <si>
    <t>Solicitar el primer MA de la siguiente área: ALE</t>
  </si>
  <si>
    <t>Prioridad de Atención</t>
  </si>
  <si>
    <t>Estatus</t>
  </si>
  <si>
    <t>Validar el PR de Gestión y Adm. De Doc de SST</t>
  </si>
  <si>
    <t>Formulación de los Documentos de la LMD del ACD</t>
  </si>
  <si>
    <t>MA de Gestión de Operaciones de Gerentes de CEDI</t>
  </si>
  <si>
    <t>Hacer resumen ejecutivo (PPT) de CITE MADERA para GG</t>
  </si>
  <si>
    <t>Atrasado</t>
  </si>
  <si>
    <t>Tiempo límite</t>
  </si>
  <si>
    <t>Baja</t>
  </si>
  <si>
    <t>Alta</t>
  </si>
  <si>
    <t>Media</t>
  </si>
  <si>
    <t>Revisar el indicador 7 y 8 de AAC</t>
  </si>
  <si>
    <t>Visitar la Planta de Saños para cumplir los acuerdos pactados con las áreas respectivas</t>
  </si>
  <si>
    <t>Revisar que se aplique el formato requerido</t>
  </si>
  <si>
    <t>Revisar Codificación (Noelia)</t>
  </si>
  <si>
    <t>Revisar y validar estándar de Política SST</t>
  </si>
  <si>
    <t>No se tiene validado el PR de Gestión y Adm. De Doc de SST</t>
  </si>
  <si>
    <t>No se tiene Revisado y validado el estándar de Política SST</t>
  </si>
  <si>
    <t>No existe la Formulación de los Documentos de la LMD del ACD</t>
  </si>
  <si>
    <t>No se tiene el MA de Gestión de Operaciones de Gerentes de CEDI</t>
  </si>
  <si>
    <t>No se tiene un resumen ejecutivo (PPT) de CITE MADERA para GG</t>
  </si>
  <si>
    <t>No se tiene revisado el indicador 6, 7 y 8 de AAC</t>
  </si>
  <si>
    <t>No se tiene programado Visitar la Planta de Saños para cumplir los acuerdos pactados con las áreas respectivas</t>
  </si>
  <si>
    <t>No se Solicito el IN  de Planificación de Competencias Publicitarias Final - AMC</t>
  </si>
  <si>
    <t xml:space="preserve">Realizar el MA de Implementación de 5S </t>
  </si>
  <si>
    <t>Elaborar el diagrama Flujo Autorización de Salida</t>
  </si>
  <si>
    <t>No se tiene Elaborado el diagrama Flujo Autorización de Salida</t>
  </si>
  <si>
    <t>No se tiene Realizado el MA de Implementación de 5S</t>
  </si>
  <si>
    <t>No se tiene Realizado el MA de Control de Calidad</t>
  </si>
  <si>
    <t>..\C) DDA-BPM-2024\ATH-BPM-2024\SG-BPM\ATH Anexo 8 Diagrama de Flujo\8.15. PR de Papeleta de Salida UTM V1.jpeg</t>
  </si>
  <si>
    <t>..\D) DSI-BPM-2024\ACD-BPM-2024\SG-ADM\GERARQUÍA DE DOCUMENTOS_2025\RE_2025\RE Autorización de Salida  ATH-UTM.pdf</t>
  </si>
  <si>
    <t>..\D) DSI-BPM-2024\ACD-BPM-2024\SG-ADM\GERARQUÍA DE DOCUMENTOS_2025\ES_2025\POLITICA DE SST - UTM 2025.pdf</t>
  </si>
  <si>
    <t xml:space="preserve"> No se tiene el FO de no Conformidades</t>
  </si>
  <si>
    <t>Revisar DF de autorización de Salida ATH</t>
  </si>
  <si>
    <t>Solicitar IN  de Campaña  por semana del carpintero - AMC</t>
  </si>
  <si>
    <t>Crear el Programa y cronograma de los Documentos a Elaborar por parte de ATH</t>
  </si>
  <si>
    <t>Crear el Programa y cronograma de los Documentos a Elaborar por parte de CDG</t>
  </si>
  <si>
    <t>No se cuenta con el Programa y cronograma de los Documentos a Elaborar por parte de ATH</t>
  </si>
  <si>
    <t>No se cuenta con el Programa y cronograma de los Documentos a Elaborar por parte de CDG</t>
  </si>
  <si>
    <t xml:space="preserve">No se tiene Reformulada la Plantilla PPT para las presentaciones de fin de mes </t>
  </si>
  <si>
    <t>Acta de R. N°007-ACD de fecha 10MAR25.</t>
  </si>
  <si>
    <t>Acta de R. N°008-ACD de fecha 10MAR25.</t>
  </si>
  <si>
    <t xml:space="preserve">Reformular Plantilla PPT para las presentaciones de fin de mes </t>
  </si>
  <si>
    <t>Validar con Ed para enviarlo con CDG</t>
  </si>
  <si>
    <t>Ingresado a BPM de ATH</t>
  </si>
  <si>
    <t>Entregado/Validar por Ed</t>
  </si>
  <si>
    <t>Reformular y Validar el FO de no Conformidades</t>
  </si>
  <si>
    <t>Construcción del PR Control y Movimiento de Personal</t>
  </si>
  <si>
    <t xml:space="preserve">Elaborar Carta de CDG al Comité del RISST </t>
  </si>
  <si>
    <t>Revisar y levantar las Observaciones proporcionadas por Guillnei respecto al RIT</t>
  </si>
  <si>
    <t>..\D) DSI-BPM-2024\ACD-BPM-2024\SG-ADM\JERARQUÍA DE DOCUMENTOS_2025\MA_2025\MA - RIT  ATH UTM 2025.pdf</t>
  </si>
  <si>
    <t>No se tiene revisado y levantado las Observaciones proporcionadas por Guillnei respecto al RIT</t>
  </si>
  <si>
    <t>Crear Plantilla de Resolución  con Fecha de aprobación y hoja membretada</t>
  </si>
  <si>
    <t>Crear Plantilla de Acta  con Fecha de aprobación   y hoja membretada</t>
  </si>
  <si>
    <t>Crear Plantilla de Carta con Fecha de aprobación  y hoja membretada</t>
  </si>
  <si>
    <t>Crear Plantilla de Solicitud con Fecha de aprobación  y hoja membretada</t>
  </si>
  <si>
    <t>Jefe DSI</t>
  </si>
  <si>
    <t>Crear  y validar el Manual de Organización y Funciones (MOF)</t>
  </si>
  <si>
    <t>Crear y validar el Reglamento del MOF (ROF)</t>
  </si>
  <si>
    <t>Crear y validar el MA del Cuadro de Asignación de Personal UTM (CAP)</t>
  </si>
  <si>
    <t>Crear y Validar el PR Bienestar Social Laboral</t>
  </si>
  <si>
    <t xml:space="preserve">No se tiene Elaborado la Carta de CDG al Comité del RISST </t>
  </si>
  <si>
    <t>No se tiene Creado la Plantilla de Resolución  con Fecha de aprobación y hoja membretada</t>
  </si>
  <si>
    <t>No se tiene Creado la Plantilla de Acta  con Fecha de aprobación   y hoja membretada</t>
  </si>
  <si>
    <t>No se tiene Creado la  Plantilla de Carta con Fecha de aprobación  y hoja membretada</t>
  </si>
  <si>
    <t>No se tiene Creado la Plantilla de Solicitud con Fecha de aprobación  y hoja membretada</t>
  </si>
  <si>
    <t>No se tiene Creado  y valido el Manual de Organización y Funciones (MOF)</t>
  </si>
  <si>
    <t>No se tiene Creado y validado el Reglamento del MOF (ROF)</t>
  </si>
  <si>
    <t>No se tiene Creado y validado el MA del Cuadro de Asignación de Personal UTM (CAP)</t>
  </si>
  <si>
    <t xml:space="preserve">No se tiene creado la  Plantilla del Oficio con Fecha de aprobación </t>
  </si>
  <si>
    <t xml:space="preserve">Crear Plantilla de un Oficio con Fecha de aprobación </t>
  </si>
  <si>
    <t>No se tiene Creado la Plantilla de Citación con Fecha de aprobación  y  hoja membretada</t>
  </si>
  <si>
    <t>Crear Plantilla de Citación con Fecha de aprobación  y hoja membretada</t>
  </si>
  <si>
    <t>No se tiene Creado la Plantilla de Informe con Fecha de aprobación  y hoja membretada</t>
  </si>
  <si>
    <t>Crear Plantilla de Informe con Fecha de aprobación  y hoja membretada</t>
  </si>
  <si>
    <t>Mejorar Formato / Ed</t>
  </si>
  <si>
    <t>Generar la Codificación de Documentos</t>
  </si>
  <si>
    <t xml:space="preserve">No se tiene Codificado todos los documentos elaborados </t>
  </si>
  <si>
    <t>Carta CDG al Comité del RISST</t>
  </si>
  <si>
    <t>Crear y validar MA de Políticas Internas del ATH UTM (MPI)</t>
  </si>
  <si>
    <t xml:space="preserve">Crear y validar el PR de Reclutamiento y Selección de Personal </t>
  </si>
  <si>
    <t>Realizar Formulario de Evaluación para el RISST</t>
  </si>
  <si>
    <t>Jean Carlos Aliaga</t>
  </si>
  <si>
    <t>Guillnei Galarza</t>
  </si>
  <si>
    <t>Revisar el registro de Inspecciones Internas enviado por ASS</t>
  </si>
  <si>
    <t>Diseño y Rediseño de la Ficha de Evaluación de Jefe de Ventas</t>
  </si>
  <si>
    <t>Revisar el Programa y Cronograma PC de SST enviado por Heidy</t>
  </si>
  <si>
    <t>Levantado lo de ASS, revisión, validación y reformulación del PC de ASS - Conforme</t>
  </si>
  <si>
    <t>Solicitar a Ed</t>
  </si>
  <si>
    <t>Mejorar Manual 5S con feedback</t>
  </si>
  <si>
    <t>Elaborar FO de Evaluación para Jefe de Producción</t>
  </si>
  <si>
    <t>Elaborar FO de Evaluación para PRODUCCIÓN</t>
  </si>
  <si>
    <t>Elaborar FO de Evaluación para Jefe de Ventas</t>
  </si>
  <si>
    <t>Elaborar FO de Evaluación para Jefe de Almacén de Melaminas y Accesorios</t>
  </si>
  <si>
    <t>Elaborar FO de Evaluación para Jefe de Almacén de Melaminas</t>
  </si>
  <si>
    <t>Elaborar FO de Evaluación para Jefe de Almacén de Accesorios</t>
  </si>
  <si>
    <t xml:space="preserve">Levantamiento de Observaciones , Encuesta ASS - RISST </t>
  </si>
  <si>
    <t>Creación y Validación de FO del Cuadro de Asignación de Personal</t>
  </si>
  <si>
    <t>Generar Bizagy para MA de Implementación 5S</t>
  </si>
  <si>
    <t>Generar Reglamento de Comité de SST</t>
  </si>
  <si>
    <t>Tabla de Actividades, cronograma de Elaboración de MA y PR - ATH</t>
  </si>
  <si>
    <t>No se tiene Creado y validado el  MA de Políticas Internas del ATH UTM (MPI)</t>
  </si>
  <si>
    <t xml:space="preserve">No se tiene Creado y validado el PR de Reclutamiento y Selección de Personal </t>
  </si>
  <si>
    <t>No se Reviso el Programa y Cronograma PC de SST enviado por Heidy</t>
  </si>
  <si>
    <t>Elaborar Portada de File Personal -ATH</t>
  </si>
  <si>
    <t>Solicitar FO a Guill</t>
  </si>
  <si>
    <t>FO de Hoja de Recorrido FO-ATH-DDA-GG.03</t>
  </si>
  <si>
    <t>PLANNING AND PROYECT MANAGEMENT 2025-2026</t>
  </si>
  <si>
    <r>
      <t xml:space="preserve">V: </t>
    </r>
    <r>
      <rPr>
        <b/>
        <sz val="14"/>
        <color rgb="FF66FFCC"/>
        <rFont val="Arial"/>
        <family val="2"/>
      </rPr>
      <t>04</t>
    </r>
  </si>
  <si>
    <t>Portada de File personal entregado a ATH</t>
  </si>
  <si>
    <t>No se tiene Elaborado la Portada de File Personal -ATH</t>
  </si>
  <si>
    <t>Realizar Informe de gestión del Comité de SST.</t>
  </si>
  <si>
    <t>No se tiene el Informe de gestión del Comité de SST.</t>
  </si>
  <si>
    <t>Informe de Gestión Comité SST</t>
  </si>
  <si>
    <t>Entregado a Ed</t>
  </si>
  <si>
    <t>FO de Reclutamiento de Personal</t>
  </si>
  <si>
    <t>No se tiene el PR de Control de Asistencia</t>
  </si>
  <si>
    <t>No se tiene el PR de Desvinculación Laboral</t>
  </si>
  <si>
    <t xml:space="preserve">Actualizar FO de Registro de Incidentes </t>
  </si>
  <si>
    <t>Socializar FO de Informe de Gestión con todas las áreas Administrativas</t>
  </si>
  <si>
    <t>PR de Desvinculación Laboral</t>
  </si>
  <si>
    <t>FO de Reclutamiento Interno de Personal</t>
  </si>
  <si>
    <t>Elaborar Diagrama de Flujo para la Gestión de Documentos Administrativos V1- ACD</t>
  </si>
  <si>
    <t>No se tiene Elaborado el Diagrama de Flujo para la Gestión de Documentos Administrativos V1- ACD</t>
  </si>
  <si>
    <t xml:space="preserve">No se tiene Actualizado FO de Registro de Incidentes </t>
  </si>
  <si>
    <t>No se Elaboro el PR de Incorporación Laboral -ATH</t>
  </si>
  <si>
    <t>Levantamiento de Observación -Instructivo de Gestión de Documentos Administrativos -ACD</t>
  </si>
  <si>
    <t>Elaborar PR de Periodo de Prueba -ATH</t>
  </si>
  <si>
    <t>Realizar el back up de Documentos-ADM-UTM</t>
  </si>
  <si>
    <t>Socializar MA Implementación Sostenible de las 5S UTM 2025 con el CAI</t>
  </si>
  <si>
    <t>Realizar Informe de Gestión sobre requerimiento de EPP corporativo</t>
  </si>
  <si>
    <t xml:space="preserve">Socializar el FO de Requerimiento </t>
  </si>
  <si>
    <t>Elaborar Informe de Gestión para la Remuneración de Pasajes</t>
  </si>
  <si>
    <t>Mayumi  Osores</t>
  </si>
  <si>
    <t>Atender RQ de ASS respecto al FO de Asignación de Entrega de Uniforme</t>
  </si>
  <si>
    <t>No se tiene Elaborado el PR de Periodo de Prueba -ATH</t>
  </si>
  <si>
    <t>No se tiene Elaborado el RESUMEN DE ACTIVIDADES DEL PMC MARZO 2025 - EXCEL</t>
  </si>
  <si>
    <t>Elaborar RESUMEN DE ACTIVIDADES DEL PMC MARZO 2025 - EXCEL</t>
  </si>
  <si>
    <t>No se tiene Realizar el back up de Documentos-ADM-UTM</t>
  </si>
  <si>
    <t>No se tiene Socializado el MA Implementación Sostenible de las 5S UTM 2025 con el CAI</t>
  </si>
  <si>
    <t>No se tiene el Informe de Gestión sobre requerimiento de EPP corporativo</t>
  </si>
  <si>
    <t xml:space="preserve">No se Socializo el FO de Requerimiento </t>
  </si>
  <si>
    <t>No se tiene Elaborado el Informe de Gestión para la Remuneración de Pasajes</t>
  </si>
  <si>
    <t>No se tiene Elaborado el PR de Gestión de Remuneración - ATH</t>
  </si>
  <si>
    <t>No se tiene el Informe de Gestión Mensual de ACD</t>
  </si>
  <si>
    <t>Falta Atender RQ de ASS respecto al FO de Asignación de Entrega de Uniforme</t>
  </si>
  <si>
    <t>Asignar y Habilitar Correo</t>
  </si>
  <si>
    <t>Enviado para su Revición</t>
  </si>
  <si>
    <t>Recibido para su Revición</t>
  </si>
  <si>
    <t>Entregado a Tiempo</t>
  </si>
  <si>
    <t>Entregado Fuera de Plazo</t>
  </si>
  <si>
    <t xml:space="preserve">Elaborar y Validar el IN de Control y Movimiento de Personal </t>
  </si>
  <si>
    <t>Elaborar IN para la Implementación Sostenible de las 5S</t>
  </si>
  <si>
    <t>Actualizar el Status de Actividades Programadas - ACD - EXCEL</t>
  </si>
  <si>
    <t>Llevar a cabo la Reunión con ATH- Planificada para las 4:00pm</t>
  </si>
  <si>
    <t>Elaborar PC para la implementación Sostenible de las 5S-ASS-ACD</t>
  </si>
  <si>
    <t>Elaborar Formato de Entrevista Estructurada y Conductual-ATH</t>
  </si>
  <si>
    <t xml:space="preserve">No se tiene Elaborado un Formato de Entrevista </t>
  </si>
  <si>
    <t>Estructurar el Modelo de CV para postulante-ATH</t>
  </si>
  <si>
    <t>Acta de R. N°009-ACD de fecha 28MAR25.</t>
  </si>
  <si>
    <t>Estructurar Modelo de Entrevista Estructural y Conductual -ATH</t>
  </si>
  <si>
    <t>Elaborar Diagrama de Flujo para la Gestión de Entrevista -ATH</t>
  </si>
  <si>
    <t>Elaborar FO de Requerimiento Logístico AFC ATH UTM 2025</t>
  </si>
  <si>
    <t>ALTA</t>
  </si>
  <si>
    <t xml:space="preserve">MEDIA </t>
  </si>
  <si>
    <t>BAJA</t>
  </si>
  <si>
    <t>Elaborar Material de Apoyo en papelotes para la Capacitación de Gestión por Procesos, procedimientos y Funciones: Jefe de Producción y Jefa de Ventas-CEDIS</t>
  </si>
  <si>
    <t>Preparar File de Anexos BPM, para la Capacitación de Gestión por Procesos, procedimientos y Funciones: Jefe de Producción y Jefa de Ventas-CEDIS</t>
  </si>
  <si>
    <t>Realizar el Cheklist para los preparativos y correcta ejecución de la Capacitación de Gestión por Procesos, procedimientos y Funciones: Jefe de Producción y Jefa de Ventas-CEDIS</t>
  </si>
  <si>
    <t>Completar el Formato de Plan de Lección</t>
  </si>
  <si>
    <t>Elaborar Diagrama de Flujo para el PR de Horas Extras -ATH</t>
  </si>
  <si>
    <t>Elaborar carpeta Digital de los 12 Anexos para la entrega respectiva de los Jefes de DDP y DDC</t>
  </si>
  <si>
    <t>Elaborar Proceso Disciplinario/Procesos Sancionar</t>
  </si>
  <si>
    <t>Elaborar IN para la Estandarización de Manejo de Pioners</t>
  </si>
  <si>
    <t>Enviar tres ejemplares del Panel Kanban y del Cuadro de Prioridades</t>
  </si>
  <si>
    <t>AMC-DDO</t>
  </si>
  <si>
    <t>Luis Campos</t>
  </si>
  <si>
    <t>Ingreso y Actualización de Documentos a base de datos</t>
  </si>
  <si>
    <t>Elaborar PR de Gestión de Horas Extras-ATH</t>
  </si>
  <si>
    <t>Elaboración de FO de Reporte de Horas Extras -EXCEL-ATH</t>
  </si>
  <si>
    <t>Elaborar el Diagrama de Flujo para PR de Gestión de Desempeño</t>
  </si>
  <si>
    <t>Elaborar FO para el PR de Gestión de Desempeño</t>
  </si>
  <si>
    <t xml:space="preserve">Elaborar FO de Hoja de Vida en Excel para contratar a Personal Operativo </t>
  </si>
  <si>
    <t xml:space="preserve">No se tiene Elaborado y Validado el IN de Entrevista de Personal </t>
  </si>
  <si>
    <t xml:space="preserve">No se tiene Elaborado y Validado el IN de Control y Movimiento de Personal </t>
  </si>
  <si>
    <t>No se tiene Elaborado el IN para la Implementación Sostenible de las 5S</t>
  </si>
  <si>
    <t>Falta Actualizar el Status de Actividades Programadas - ACD - EXCEL</t>
  </si>
  <si>
    <t>Falta Llevar a cabo la Reunión con ATH- Planificada para las 4:00pm</t>
  </si>
  <si>
    <t>Falta Elaborar PR de Gestión de Desempeño - ATH</t>
  </si>
  <si>
    <t>Falta Elaborar PC para la implementación Sostenible de las 5S-ASS-ACD</t>
  </si>
  <si>
    <t>Falta Estructurar el Modelo de CV para postulante-ATH</t>
  </si>
  <si>
    <t>Falta Estructurar Modelo de Entrevista Estructural y Conductual -ATH</t>
  </si>
  <si>
    <t>Falta Elaborar Diagrama de Flujo para la Gestión de Entrevista -ATH</t>
  </si>
  <si>
    <t>Falta Elaborar FO de Requerimiento Logístico AFC ATH UTM 2025</t>
  </si>
  <si>
    <t>Falta Elaborar Material de Apoyo en papelotes para la Capacitación de Gestión por Procesos, procedimientos y Funciones: Jefe de Producción y Jefa de Ventas-CEDIS</t>
  </si>
  <si>
    <t>No se tiene Preparado el File de Anexos BPM, para la Capacitación de Gestión por Procesos, procedimientos y Funciones: Jefe de Producción y Jefa de Ventas-CEDIS</t>
  </si>
  <si>
    <t>No se tiene Realizado el Cheklist para los preparativos y correcta ejecución de la Capacitación de Gestión por Procesos, procedimientos y Funciones: Jefe de Producción y Jefa de Ventas-CEDIS</t>
  </si>
  <si>
    <t>Faltar Elaborar Diagrama de Flujo para el PR de Horas Extras -ATH</t>
  </si>
  <si>
    <t>Falta Elaborar carpeta Digital de los 12 Anexos para la entrega respectiva de los Jefes de DDP y DDC</t>
  </si>
  <si>
    <t>Falta Elaborar Proceso Disciplinario/Procesos Sancionar</t>
  </si>
  <si>
    <t>Falta Elaborar IN para la Estandarización de Manejo de Pioners</t>
  </si>
  <si>
    <t>Falta Enviar tres ejemplares del Panel Kanban y del Cuadro de Prioridades</t>
  </si>
  <si>
    <t>Falta Ingresar y Actualizar los Documentos a base de datos</t>
  </si>
  <si>
    <t>No se tiene la Elaboración de FO de Reporte de Horas Extras -EXCEL-ATH</t>
  </si>
  <si>
    <t>Falta Elaborar PR de Gestión de Horas Extras-ATH</t>
  </si>
  <si>
    <t>No se tiene Elaborado el Diagrama de Flujo para PR de Gestión de Desempeño</t>
  </si>
  <si>
    <t xml:space="preserve">No se tiene Elaborado FO de Hoja de Vida en Excel para contratar a Personal Operativo </t>
  </si>
  <si>
    <t>No se tiene Elaborado el FO para el PR de Gestión de Desempeño</t>
  </si>
  <si>
    <r>
      <t xml:space="preserve">A: </t>
    </r>
    <r>
      <rPr>
        <b/>
        <sz val="14"/>
        <color rgb="FF66FFCC"/>
        <rFont val="Arial"/>
        <family val="2"/>
      </rPr>
      <t>20ENE24</t>
    </r>
  </si>
  <si>
    <t>PEI: 2024-2025</t>
  </si>
  <si>
    <t>FO-ATH-DDA-XX</t>
  </si>
  <si>
    <t xml:space="preserve">Elaborar Informe de Gestión de las AFC desarrollado por ACD. </t>
  </si>
  <si>
    <t>No se ha realizado Informe de las AFC desarrollado por ACD.</t>
  </si>
  <si>
    <t>Requerimiento de CDG</t>
  </si>
  <si>
    <t>Informe N°006-25-ACD-DSI-UTM 31ABR25</t>
  </si>
  <si>
    <t xml:space="preserve">Mixto </t>
  </si>
  <si>
    <t>Atrasada</t>
  </si>
  <si>
    <t>Tiempo Límite</t>
  </si>
  <si>
    <t xml:space="preserve">Convocar al CAI para atender el RQ. </t>
  </si>
  <si>
    <t>% de Cumplimiento
Cerrada</t>
  </si>
  <si>
    <t>ES-ASS-DSI-GG-XX</t>
  </si>
  <si>
    <t>PR-ASS-DSI-GG-XX</t>
  </si>
  <si>
    <r>
      <t xml:space="preserve">R: </t>
    </r>
    <r>
      <rPr>
        <b/>
        <sz val="12"/>
        <color rgb="FF66FFCC"/>
        <rFont val="Arial"/>
        <family val="2"/>
      </rPr>
      <t>02</t>
    </r>
  </si>
  <si>
    <t xml:space="preserve">El Registro del SCP esta siendo llevando de manera no técnica. </t>
  </si>
  <si>
    <t xml:space="preserve">Estandarizar el Registro y brindar reinducción a los usuarios y generar compromisos del buen uso. </t>
  </si>
  <si>
    <t>Requerimiento de ACD</t>
  </si>
  <si>
    <t xml:space="preserve">Ed D´LaCruz </t>
  </si>
  <si>
    <t>RE-ACD-DSI-GG-05</t>
  </si>
  <si>
    <t>Pendiente generar y validar Reporte diario y Dashboard.</t>
  </si>
  <si>
    <t>La codificación de U.N.se requiere actualizar ya que se ha realizado la fusión de empresas.</t>
  </si>
  <si>
    <t>Se escribió y se llamo: Reunión el día de mañana previo acuerdo</t>
  </si>
  <si>
    <t>No se solicito las observaciones de la Ficha Técnica de Indicadores por parte de ALE</t>
  </si>
  <si>
    <t>Se escribió y se llamo: Solicitar correcciones para las 3:00pm de lo contrario plasmarlo en el reporte.</t>
  </si>
  <si>
    <t>Entregado y en revisión con ASS para sus aprobación.</t>
  </si>
  <si>
    <t>No se tiene las observaciones de la Ficha Técnica de Indicadores y la Lista Maestra por parte de ALS</t>
  </si>
  <si>
    <t xml:space="preserve">En revisión </t>
  </si>
  <si>
    <t xml:space="preserve">No se tiene la construcción del PR Papeleta de Salida de ATH </t>
  </si>
  <si>
    <t>En revisión ACD</t>
  </si>
  <si>
    <t>No se tiene Revisado el DF de autorización de Salida ATH</t>
  </si>
  <si>
    <t xml:space="preserve">No se tiene Elaborado Propuesta de Incentivos por cumplimiento de Metas a nivel Comercial </t>
  </si>
  <si>
    <t>No se tiene la Revisión de la Ficha de Evaluación y Remuneración (Excel )</t>
  </si>
  <si>
    <t xml:space="preserve">No se tiene creado la  Plantilla de Memorándum con Fecha de aprobación </t>
  </si>
  <si>
    <t>En revisión por ED</t>
  </si>
  <si>
    <t>No se tiene Creado y Validado el PR Bienestar Social Laboral</t>
  </si>
  <si>
    <t>Revisión y Corrección del FO Hoja de Recorrido de ATH-UTM</t>
  </si>
  <si>
    <t>Revisión y Codificación de la Política Salarial Novocentro</t>
  </si>
  <si>
    <t>En Revisión /Ed</t>
  </si>
  <si>
    <t>Crear Tarjeta Roja para el MA de Implementación 5S</t>
  </si>
  <si>
    <t>En revisión por Ed</t>
  </si>
  <si>
    <t>Generar Reglamento Contra el Hostigamiento</t>
  </si>
  <si>
    <t>No se tiene el Fe de Reclutamiento Interno de Personal</t>
  </si>
  <si>
    <t>En Revisión por Ed</t>
  </si>
  <si>
    <t>No se realizo la Revisión del Manual de Identidad Corporativa-AMC</t>
  </si>
  <si>
    <t>No se Socializó el FO de Informe de Gestión con todas las áreas Administrativas</t>
  </si>
  <si>
    <t>No se tiene elaborado un de Memorándum N°001-ACD</t>
  </si>
  <si>
    <t>Se tiene Observaciones  del Instructivo de Gestión de Documentos Administrativos -ACD</t>
  </si>
  <si>
    <t>No se tiene elaborado el PR de Inducción Laboral y Bienvenida (General y Especifica)-atm</t>
  </si>
  <si>
    <t>Falta Elaborar Excel de Acrónimos y Abreviaturas.-GG</t>
  </si>
  <si>
    <t>Falta Elaborar RE del Plan de Lección AFC ATH UTM 2025</t>
  </si>
  <si>
    <t>Realizar el Informe de la Capacitación de Gestión por Procesos, procedimientos y Funciones: Jefe de Producción y Jefa de Ventas-CEDIS</t>
  </si>
  <si>
    <t>Falta Elaborar ES de Políticas Internas del Área de Talento Humano-ATH</t>
  </si>
  <si>
    <t xml:space="preserve">Falta Elaborar MA de Políticas Corporativas </t>
  </si>
  <si>
    <t xml:space="preserve">No se ha elaborado evaluación del evento, informe estadístico ni requerimiento de necesidades de FC.  </t>
  </si>
  <si>
    <t>ES-ATH-DDA-GG-10.1</t>
  </si>
  <si>
    <t>RQ DE ACD</t>
  </si>
  <si>
    <t>RQ de AMC</t>
  </si>
  <si>
    <t>RQ de ACD</t>
  </si>
  <si>
    <t>Actualizar sistema de Codificación de la serie 100 del Grupo UTM.</t>
  </si>
  <si>
    <t>Solicitar las observaciones de la Ficha Técnica de Indicadores y la Lista Maestra por parte de ALE</t>
  </si>
  <si>
    <t>..\D) DSI-BPM-2024\ACD-BPM-2024\SG-ADM\GERARQUÍA DE DOCUMENTOS_2025\PR_2025\PR-Gestión y Adm Documentaria de SST UTM 2025.pdf</t>
  </si>
  <si>
    <t xml:space="preserve">Construcción del RE Autorización de Salida para el PR Papeleta de Salida de ATH </t>
  </si>
  <si>
    <t>Solicitar las observaciones de la Ficha Técnica de Indicadores y la Lista Maestra por parte de ALS</t>
  </si>
  <si>
    <t>C:\Users\User\Pictures\Gestipon ATH-2025\WhatsApp Imagen 2025-03-12 at 9.05.07 AM.jpeg</t>
  </si>
  <si>
    <t xml:space="preserve">Elaborar Propuesta de Incentivos por cumplimiento de Metas a nivel Comercial </t>
  </si>
  <si>
    <t>Revisión de la Ficha de Evaluación y Remuneración (Excel )</t>
  </si>
  <si>
    <t>Pedir a Ed para control de evidencia</t>
  </si>
  <si>
    <t xml:space="preserve">Crear Plantilla de Memorándum con Fecha de aprobación </t>
  </si>
  <si>
    <t>Revisión Manual de Identidad Corporativa-AMC</t>
  </si>
  <si>
    <t>Elaboración de Memorándum N°001-ACD</t>
  </si>
  <si>
    <t>Elaborar Informe de Gestión Mensual de ACD</t>
  </si>
  <si>
    <t>Elaborar Excel de Acrónimos y Abreviaturas.-GG</t>
  </si>
  <si>
    <t>Elaborar RE del Plan de Lección AFC ATH UTM 2025</t>
  </si>
  <si>
    <t>Elaborar ES de Políticas Internas del Área de Talento Humano-ATH</t>
  </si>
  <si>
    <t xml:space="preserve">Elaborar MA de Políticas Corporativas </t>
  </si>
  <si>
    <t>Status</t>
  </si>
  <si>
    <t xml:space="preserve">No se tiene culminada la revición del Plan Anual de Mantenimiento  </t>
  </si>
  <si>
    <t xml:space="preserve">Elaborar y Validar el MA de Plan Anual de Mantenimiento </t>
  </si>
  <si>
    <t>RQ de ASS</t>
  </si>
  <si>
    <t>RQ de AMS</t>
  </si>
  <si>
    <t>Jefe DDA</t>
  </si>
  <si>
    <t xml:space="preserve">No se tiene las PPTS de Precentación Mensual del ACD </t>
  </si>
  <si>
    <t>Solicitar PPTS de Precentación Mensual del ACD a ED</t>
  </si>
  <si>
    <t>No se Realizo el Requerimiento para el Diseño de Pagina de Facebook</t>
  </si>
  <si>
    <t>ES-ATH-DDA-GG-8.18</t>
  </si>
  <si>
    <t>Tablero de Prioridades Enmicados-AMC-DDA-DDO</t>
  </si>
  <si>
    <t>Enviar a Saños</t>
  </si>
  <si>
    <t>IN-ACD-DSI-GG-02_Implementación Sostenible de las 5´S -UTM</t>
  </si>
  <si>
    <t>RQ de ATH</t>
  </si>
  <si>
    <t>Implementación Piloto 5S oficina ACD</t>
  </si>
  <si>
    <t>No se tiene un orden en la oficina de ACD</t>
  </si>
  <si>
    <t>RQ-ACD</t>
  </si>
  <si>
    <t>Realizar FO de Evaluación de Evento-ACD</t>
  </si>
  <si>
    <t>No se tiene el FO de Evaluación de Evento-ACD</t>
  </si>
  <si>
    <t>RQ-AMC</t>
  </si>
  <si>
    <t>Código: 106-CEDI Tarapaca/107-CEDI Lorente/200-UTM Código Libre</t>
  </si>
  <si>
    <t xml:space="preserve">Realizar el Requerimiento para el manejo de Facebook y manejo de Redes  </t>
  </si>
  <si>
    <t>Candidato para el Manejo de Facebook y Redes presentado</t>
  </si>
  <si>
    <t>En Evaluación-GG/CDG</t>
  </si>
  <si>
    <t>PR-ATH-DDA-GG-07</t>
  </si>
  <si>
    <t>IN-ACD-DSI-GG-03 / Estandarización de Pioners</t>
  </si>
  <si>
    <t>Solicitar formato a Ed</t>
  </si>
  <si>
    <t>Evaluar ubicación estrategica de los letreros CEDI Tambo -Implementación 5S/Reunión ASS</t>
  </si>
  <si>
    <t>Se requiere actualizar la señaleticas y letreros en la CEDI Tambo-Implementación 5S</t>
  </si>
  <si>
    <t xml:space="preserve">Se requiere informar a GDC sobre la Implementación 5S -CEDI Tambo </t>
  </si>
  <si>
    <t>Realizar asistencia GDC -CEDI Tambo / Reunión ASS-ACD</t>
  </si>
  <si>
    <t>RQ-ASS</t>
  </si>
  <si>
    <t xml:space="preserve">Realizar control del FO de Asignación, Monitonitoreo y DC archivados en físico. </t>
  </si>
  <si>
    <t>Actualizar FO de Registro de Asistencia para SERVICIOS INTEGRALES E.I.R.L.</t>
  </si>
  <si>
    <t>No se tiene actualizado el FO de Registro de Asistencia para SERVICIOS INTEGRALES E.I.R.L.</t>
  </si>
  <si>
    <t xml:space="preserve">Se necesita regularizar el FO de Asignación, Monitonitoreo y DC archivados en físico. </t>
  </si>
  <si>
    <t>Se requiere aprobar la señaleticas y letreros en la CEDI Tambo-Implementación 5S</t>
  </si>
  <si>
    <t xml:space="preserve">Existen actividades ATRASADAS en el SCP </t>
  </si>
  <si>
    <t>El Pioner D.1.2. no cuenta con separadores internos para optimizar el control doc.</t>
  </si>
  <si>
    <t>Crear y laminar Diseño para Separadores de pioners</t>
  </si>
  <si>
    <t>Aprobar ubicación  y modelos de los letreros CEDI Tambo -Implementación 5S/Reunión ASS</t>
  </si>
  <si>
    <t>Los documentos corporativos no estan actualizados al nuevo logo.</t>
  </si>
  <si>
    <t xml:space="preserve">No se tiene un material para la socialización de Doc. Corporativos </t>
  </si>
  <si>
    <t>Crear material de socialización para Doc. Corporativos - CEDIS</t>
  </si>
  <si>
    <t>El formulario de Requerimiento de Personal-ATH no esta actualizado</t>
  </si>
  <si>
    <t>Mejorar el Formulario de Requerimiento de Personal-ATH</t>
  </si>
  <si>
    <t xml:space="preserve">El PR de Horas Extras necesita ajustarse al sueldo basico para su ejecución. </t>
  </si>
  <si>
    <t>Realizar los ajustes necesarios acordados con ATH frente al PR de Horas Extras</t>
  </si>
  <si>
    <t>El RE de AMC requiere de una codificación y aprobación</t>
  </si>
  <si>
    <t>Generar codigo para el RE Briefing para Flyers de Puestos Laborales - AMC/ATH</t>
  </si>
  <si>
    <t>No se tiene generado los FO de Entrevista Conductual y Estructural para su uso</t>
  </si>
  <si>
    <t>ATH no tiene los DF generados para los nuevos PR compartidos</t>
  </si>
  <si>
    <t>Compartir PDF de los DF solicitados por ATH y socializarlos</t>
  </si>
  <si>
    <t>RQ-ATH</t>
  </si>
  <si>
    <t>RQ-ATH Y AMC</t>
  </si>
  <si>
    <t>RQ.ATH</t>
  </si>
  <si>
    <t>RQ-ASS Y GDC</t>
  </si>
  <si>
    <t>Ubicación de Tarjetas Rojas en el Plano respectivo</t>
  </si>
  <si>
    <t>Actualizar Status de Actividades programadas en el SCP</t>
  </si>
  <si>
    <t xml:space="preserve">MA incluido como ES dentro del Reglamento Interno de ATH </t>
  </si>
  <si>
    <t>Entregado al ASS para su mejora e implementación</t>
  </si>
  <si>
    <t>Entrega con Cargo del PMV</t>
  </si>
  <si>
    <t>Adjuntar cargo escaneado</t>
  </si>
  <si>
    <t>Elaborar, revisar y validar PR de Control de Asistencia-ATH</t>
  </si>
  <si>
    <t>Bloqueado</t>
  </si>
  <si>
    <t>Aplicar el ES de Informe socializado</t>
  </si>
  <si>
    <t>Aplicar ES de informe</t>
  </si>
  <si>
    <t>ES-ATH-DDA-GG-02_Políticas Internas del ATH - UTM 2025</t>
  </si>
  <si>
    <t>Elaborar, revisar y validar PR de Incorporación Laboral -ATH</t>
  </si>
  <si>
    <t>Elaborar, revisar y validar PR de Inducción Laboral y Bienvenida (General y Especifica)-ATH</t>
  </si>
  <si>
    <t>Elaborar, revisar y validar PR de Gestión de Remuneración - ATH</t>
  </si>
  <si>
    <t>Corroborar con ASS</t>
  </si>
  <si>
    <t>ES-ATH-DDA-GG-8.17</t>
  </si>
  <si>
    <t>..\..\..\..\..\..\C) DDA-BPM-2024\ATH-BPM-2024\SG-BPM\ATH Anexo 8 Diagrama de Flujo\8.17. GESTIÓN DE HORAS EXTRAS.pdf</t>
  </si>
  <si>
    <t>Elabora, revisar y validar PR de Gestión de Desempeño - ATH</t>
  </si>
  <si>
    <t>Elaborar DF del PR de Control de Asistencia-ATH</t>
  </si>
  <si>
    <t>El PR de Control de Asistencia-ATH no tiene DF-BPM</t>
  </si>
  <si>
    <t>Actualizar Base de datos del SCP y el SCR-UTM en el Drive</t>
  </si>
  <si>
    <t>Generar codigo y FO editable para Entrevista Conductual y Estructural-ATH</t>
  </si>
  <si>
    <t>Ubicación de Letreros en el Plano respectivo</t>
  </si>
  <si>
    <t>FO-ACD-DSI-GG-01  Registro de Asistencia/UN:500</t>
  </si>
  <si>
    <t>Definición de diseño y especificaciones de letreros</t>
  </si>
  <si>
    <t>Enmicado de Doc Corporativos (20 uni x4)</t>
  </si>
  <si>
    <t>https://forms.gle/hvHraVyQRDLrSCga8</t>
  </si>
  <si>
    <t>Aprobar Doc Corporativos para su  CCP</t>
  </si>
  <si>
    <t>PR-ATH-DDA-GG-11_Gestión de Horas Extras</t>
  </si>
  <si>
    <t>..\..\PR_2025\PR-ATH-2025\PR-ATH-DDA-GG-11_Gestión de Horas Extras.pdf</t>
  </si>
  <si>
    <t>Evaluar status, implementación 5S-ASS</t>
  </si>
  <si>
    <t>Regularizar entrega de Doc. Asignados al ATH</t>
  </si>
  <si>
    <t>Elaborar ES de Política de Feriados -ATH</t>
  </si>
  <si>
    <t xml:space="preserve">PR-ATH-DDA-GG-06 Inducción Laboral y Bienvenida </t>
  </si>
  <si>
    <t>PR-ATH-DDA-GG-10 Control de Asistencia</t>
  </si>
  <si>
    <t>Enviado a ATH para su aprobación</t>
  </si>
  <si>
    <t>Elaborar DF del PR de Control de File Personal -ATH</t>
  </si>
  <si>
    <t>El PR de Control de File Personal-ATH no tiene DF-BPM</t>
  </si>
  <si>
    <t>Falta incorporar las Políticas de Feriado al Reglamento interno-ATH</t>
  </si>
  <si>
    <t>No se tiene regularizado la entrega de Doc. Asignados al ATH</t>
  </si>
  <si>
    <t>Se trequiere información sobre el status de la Implementación de las 5S</t>
  </si>
  <si>
    <t>Se requiere actualizar la base de datos- ACD / Drive</t>
  </si>
  <si>
    <t>018-ACD-14ABR25/019-ACD-14ABR25/ 020-ACD-14ABR25</t>
  </si>
  <si>
    <t>..\..\..\..\..\..\C) DDA-BPM-2024\ATH-BPM-2024\SG-ADM\ATH_02_PR_PROCEDIMIENTOS\PR-ATH-DDA-GG-10 Control de Asistencia 20ENE25.pdf</t>
  </si>
  <si>
    <t>------------</t>
  </si>
  <si>
    <t xml:space="preserve">///// </t>
  </si>
  <si>
    <t>PR-ATH-DDA-GG-07_Control y Movimientos de Personal ATH-UTM</t>
  </si>
  <si>
    <t>..\..\..\..\..\..\C) DDA-BPM-2024\ATH-BPM-2024\SG-ADM\ATH_02_PR_PROCEDIMIENTOS\PR-ATH-DDA-GG-07_Control y Movimientos de Personal ATH-UTM.pdf</t>
  </si>
  <si>
    <t>Entregado al ATH para su aprobación</t>
  </si>
  <si>
    <t>..\..\..\..\..\..\C) DDA-BPM-2024\ATH-BPM-2024\SG-ADM\ATH_02_PR_PROCEDIMIENTOS\PR-ATH-DDA-GG-11_Gestión de Horas Extras.pdf</t>
  </si>
  <si>
    <t>Enviado para Aprobación con ATH</t>
  </si>
  <si>
    <t>PR-ATH-DDA-GG-01_ Reclutamiento y Selección ATH-UTM 2025</t>
  </si>
  <si>
    <t>..\..\..\..\..\..\C) DDA-BPM-2024\ATH-BPM-2024\SG-ADM\ATH_02_PR_PROCEDIMIENTOS\PR-ATH-DDA-GG-01_ Reclutamiento y Selección ATH-UTM 2025.pdf</t>
  </si>
  <si>
    <t>Elaborar, revisar y Aprobar el IN de Gestión de Entrevista-ATH</t>
  </si>
  <si>
    <t>IN-ATH-DDA-GG-01_Gestión de Entrevesistas</t>
  </si>
  <si>
    <t>..\..\..\..\..\..\C) DDA-BPM-2024\ATH-BPM-2024\SG-ADM\ATH_03_IN_INSTRUCTIVOS\IN-ATH-DDA-GG-01_Gestión de Entrevesistas.pdf</t>
  </si>
  <si>
    <t>La base de datos Excel de ATH requiere actualización de formato/ fondo y contenido</t>
  </si>
  <si>
    <t>Actualizar la base de datos Excel de ATH en formato, fondo y contenido</t>
  </si>
  <si>
    <t>El PC del ASS debe ser integrado al PC de ATH - Formación Continua</t>
  </si>
  <si>
    <t xml:space="preserve">Actualizar el PC en formato y fondo de ATH para integrar su basse de datos. </t>
  </si>
  <si>
    <t>RE-ATH-DDA-GG-03_04_05_06_FICHA DE INGRESO DE PERSONAL 2025 COMPLETO</t>
  </si>
  <si>
    <t>..\..\..\..\..\..\C) DDA-BPM-2024\ATH-BPM-2024\SG-ADM\ATH_05_RE_REGISTRSO\RE-ATH-DDA-GG-03_04_05_06_FICHA DE INGRESO DE PERSONAL 2025 COMPLETO.xlsx</t>
  </si>
  <si>
    <t>..\..\..\..\..\..\C) DDA-BPM-2024\ATH-BPM-2024\SG-ADM\ATH_02_PR_PROCEDIMIENTOS\PR-ATH-DDA-GG-06 Inducción Laboral y Bienvenida.pdf</t>
  </si>
  <si>
    <t>Trabajar con el PR de Control y Movimiento de Personal</t>
  </si>
  <si>
    <t xml:space="preserve">Mejorar el inventariado y manejo de Pioners </t>
  </si>
  <si>
    <t>Actualizar la base de datos ACD-Drive</t>
  </si>
  <si>
    <t xml:space="preserve">Estandarizar la estructura para un Estandar y un Informe de Formación Continua </t>
  </si>
  <si>
    <t>Estructura para un Estandar e Informe de FC</t>
  </si>
  <si>
    <t>C:\Users\User\Pictures\Gestión ACD_2025\Estandar e informe.PNG</t>
  </si>
  <si>
    <t>INFORME N° 006-25-ACD-DSI-UTM 31MAR25_CAPACITACIÓN</t>
  </si>
  <si>
    <t>..\..\..\INFORMES _ 2025\INFORME N° 006-25-ACD-DSI-UTM 31MAR25_CAPACITACIÓN.pdf</t>
  </si>
  <si>
    <t xml:space="preserve">Estructurar el INFORME 006-25-ACD-DSI-UTM 31MAR25 de FC </t>
  </si>
  <si>
    <t>El diagrama DF 8.8 del DDP requiere una mejora en el proceso</t>
  </si>
  <si>
    <t>Los documentos archivados en los pioners requieren de un inventario y orden</t>
  </si>
  <si>
    <t>El informe de Formación Continua 006-25-ACD-UTM no presenta la estructura correcta</t>
  </si>
  <si>
    <t>Se requiere estandarizar la estructura para los Doc ES e Informes de FC</t>
  </si>
  <si>
    <t>RQ-ACC</t>
  </si>
  <si>
    <t>ACC</t>
  </si>
  <si>
    <t>ES-ACC-DDO-GG-8.10</t>
  </si>
  <si>
    <t>No se tiene un DF para la Gestión de Mercadería Optimizada - AAC</t>
  </si>
  <si>
    <t>RQ-ALS</t>
  </si>
  <si>
    <t>Revisión y Mejora de los DF del DDP para la disposición final de Retazos</t>
  </si>
  <si>
    <t xml:space="preserve">Enviado a ALS para su revisión </t>
  </si>
  <si>
    <t>Planificar y elaborar el Programa y Cronograma Anual -ACD</t>
  </si>
  <si>
    <t>Elaborar DF para la Gestión de Mercadería Optimizada - ALS</t>
  </si>
  <si>
    <t xml:space="preserve">Elaborar Anexos para el IN de Gestión de Mercadería Optimizada- ALS </t>
  </si>
  <si>
    <t>RE-ALS-DDO-GG-02 / RE-ALS-DDO-GG-03 / RE- ALS-DDO-GG-04</t>
  </si>
  <si>
    <t>RE-ACD-DSI-GG-01</t>
  </si>
  <si>
    <t xml:space="preserve">Planificar y elaborar el Plan Anual de Trabajo y Plan Estaratégico-ACD </t>
  </si>
  <si>
    <t>ES-ATH-DDA-GG-01 / ADM</t>
  </si>
  <si>
    <t>Elaborar, revisar y aprobar IN de Gestión de Mercadería Optimizada -ALS</t>
  </si>
  <si>
    <t>No se tiene el IN de Gestión de Mercadería Optimizada -ALS</t>
  </si>
  <si>
    <t>El Plan Anual de Trabjao y Plan Estratégico - ACD, requiere de actualización al 2025</t>
  </si>
  <si>
    <t>No se tiene el Programa y Cronograma Anual-ACD</t>
  </si>
  <si>
    <t>No se tiene un IN de Gestión de Mercadería Optimizada para ALS</t>
  </si>
  <si>
    <t>Revisar en Forma, fondo y contenido el MOF -Diseño de puesto Gerente de CEDI- ATH</t>
  </si>
  <si>
    <t xml:space="preserve">El MOF de ATH para el diseño de puesto de Gerentre de CEDI requiere de un una revición </t>
  </si>
  <si>
    <t>Perfil de Puesto GDC-MOF 2025-V1</t>
  </si>
  <si>
    <t>LINK</t>
  </si>
  <si>
    <t xml:space="preserve">Mejorar el RE de Evaluación de Evento </t>
  </si>
  <si>
    <t xml:space="preserve">IN-ALS-DDO-GG-03 Gestión de Mercadería Optimizada </t>
  </si>
  <si>
    <t>PR-ATH-DDA-02 Incorporación Laboral</t>
  </si>
  <si>
    <t>No se emitio</t>
  </si>
  <si>
    <t xml:space="preserve">Enviado al ATH, para su aprobación respectiva </t>
  </si>
  <si>
    <t xml:space="preserve">RE-ACD-DSI-GG-06 </t>
  </si>
  <si>
    <t>Revición de Diagrama de Flujo AST</t>
  </si>
  <si>
    <t>No se tiene un Formato de Evaluación de Evento</t>
  </si>
  <si>
    <t>Es necesario crear una encuesta de Evaluación de Evento para agilizar la catividad</t>
  </si>
  <si>
    <t xml:space="preserve">Crear encuesta de Evaluación de Evento- link </t>
  </si>
  <si>
    <t xml:space="preserve">Wiilbert Osores </t>
  </si>
  <si>
    <t>https://docs.google.com/forms/d/e/1FAIpQLSd05FNGkoiNoztKvQQ5BpltJDWQpEvilCtoLqTL-c4_zMOCWA/viewform?usp=dialog</t>
  </si>
  <si>
    <t xml:space="preserve">Link Drive </t>
  </si>
  <si>
    <t xml:space="preserve">Es necesita asistir al  AST </t>
  </si>
  <si>
    <t xml:space="preserve">Es necesita asistir al AST </t>
  </si>
  <si>
    <t>Realizar requerimiento para un Estabilizador y una silla con CDG</t>
  </si>
  <si>
    <t>ES-DDP-ACD-GG-8.8</t>
  </si>
  <si>
    <t>Elaborar, revisar y aprobar PR de Acciones Preventivas y Correctivas-ACD</t>
  </si>
  <si>
    <t>Realizar el MA de Sistema de Gestión de Calidad-ACD</t>
  </si>
  <si>
    <t>Actualizar Organigrama Estructural de todo los Departamentos-ACD-BPM</t>
  </si>
  <si>
    <t xml:space="preserve">El estabilizador y la silla de ACD estan en mal estado </t>
  </si>
  <si>
    <t>El ACD no cuenta con un PR de Acciones Preventivas y Correctivas</t>
  </si>
  <si>
    <t>Los Organigramas Estructurales de ACD requieren actualización</t>
  </si>
  <si>
    <t>Cotejar en consenso el listado de MA y PR a Elaborar con AST</t>
  </si>
  <si>
    <t xml:space="preserve">Feedback Diagrama de Flujo </t>
  </si>
  <si>
    <t>Lista de Doc definida</t>
  </si>
  <si>
    <t>Acta de R. N°011-ACD de fecha 2MAY25.</t>
  </si>
  <si>
    <t xml:space="preserve">Generar PC para la elaboración de Doc. AST </t>
  </si>
  <si>
    <t>Acta de R. N°012-ACD de fecha 08MAY25.</t>
  </si>
  <si>
    <t xml:space="preserve">Mejorar los DF de AST según las correcciones realizadas </t>
  </si>
  <si>
    <t>Realizar la Especificación Funcional para carpetas compartidas AST-ACD</t>
  </si>
  <si>
    <t>Solicitar elaboración de Bitacora AST</t>
  </si>
  <si>
    <t>Mejorar  el DF para el PR de Inducción Laboral y Bienvenida-ATH</t>
  </si>
  <si>
    <t>Mejorar el DF de Diseño de Instrumentos de Gestión -Todas las áreas</t>
  </si>
  <si>
    <t>Inducción BPM para los nuevos ingresantes del DDO</t>
  </si>
  <si>
    <t>Inducción ADM  lista Maestra para los nuevos colaboradores del DDO</t>
  </si>
  <si>
    <t>Elaboración MA de Plan Anual de Trabajo y PC - ALE /AAC/ALS</t>
  </si>
  <si>
    <t>Mejora PR de Inducción Laboral y Bienvenida ATH en base a la Guia Elaborada</t>
  </si>
  <si>
    <t>No se tiene generado el PC de elaboración documentaria para AST</t>
  </si>
  <si>
    <t xml:space="preserve">Se necesita mejorar los DF de AST segpun los acuerdos planteados </t>
  </si>
  <si>
    <t>La ejecución del Proyecto ACD-AST requiere de Especificaciones las cuales no se tiene</t>
  </si>
  <si>
    <t>Para el Registro de información AST no se tiene una bitacora</t>
  </si>
  <si>
    <t xml:space="preserve">El DF para el PR de Inducción Laboral y Bienvenida no esta completo </t>
  </si>
  <si>
    <t xml:space="preserve">El DF de Diseño de Instrumentos de Gestión debe ser igual para todas las áreas. </t>
  </si>
  <si>
    <t xml:space="preserve">Se requiere de una inducción estratégica de BPM para los nuevos ingresos del DDO </t>
  </si>
  <si>
    <t xml:space="preserve">Se requiere de una inducción estretégica de Lista Maestra para los ingresos del  DDO </t>
  </si>
  <si>
    <t xml:space="preserve">No se tiene el MA del Plan Anual y PC del DDO -ALE/AAC/ALS </t>
  </si>
  <si>
    <t>El PR de Inducción Laboral y Bienvenida ATH requiere  actualización de acuerdo al Fedback</t>
  </si>
  <si>
    <t>MA-ACD-DSI-GG-03</t>
  </si>
  <si>
    <t>Enviado para su Revición ATH</t>
  </si>
  <si>
    <t xml:space="preserve">Enviado al ATH para su revición </t>
  </si>
  <si>
    <t>Elaboración Politicas Internas ASS</t>
  </si>
  <si>
    <t xml:space="preserve">No se tiene empleado Políticas Internas para el ASS </t>
  </si>
  <si>
    <t>Elaborar PC implementación 5S en el equipo ADM</t>
  </si>
  <si>
    <t xml:space="preserve">Realizar un Informe del Status de Implementación BPM por cada área </t>
  </si>
  <si>
    <t>Elaborar una Estructura para realizar la charla de 5 min ADM</t>
  </si>
  <si>
    <t>Generar lista de documentos a elaborar para cada área</t>
  </si>
  <si>
    <t>RQ-GG</t>
  </si>
  <si>
    <t xml:space="preserve">Hector Martinez </t>
  </si>
  <si>
    <t>No se tiene un PC para la implementación del programa y cronograma en las oficinas ADM</t>
  </si>
  <si>
    <t xml:space="preserve">No se tiene elaborado el informe correspondiente de la implementación BPM por área </t>
  </si>
  <si>
    <t>Se necesita un guia base para la implementación de las charlas de 5 min ADM</t>
  </si>
  <si>
    <t>No se tiene la lista de doc. a elaborar por todas las áreas</t>
  </si>
  <si>
    <t>Elaborar PTTS para  la charla ADM sobre la implementación de 5S</t>
  </si>
  <si>
    <t>Realizar Cheklist 5S para el estado situacional de las oficinas ADM</t>
  </si>
  <si>
    <t>No se sabe el estado situacional de las oficinas ADM actualmente, para la imeplementación 5S</t>
  </si>
  <si>
    <t>No se tiene un material para la capacitaci+on de 5S -ADM</t>
  </si>
  <si>
    <t xml:space="preserve">Realizar el analisis de datos respecto al Cheklist 5S realizados </t>
  </si>
  <si>
    <t>https://docs.google.com/forms/d/e/1FAIpQLSeJy4RkxO8D-21WJFih22SaWSEeMAt6ZseEhojxwC6pPn_2aA/viewform?usp=header</t>
  </si>
  <si>
    <t>No se tiene el análisis de datos respecto al cheklist 5S</t>
  </si>
  <si>
    <t xml:space="preserve">Elaborar informe de Analisis Situacional y PAC </t>
  </si>
  <si>
    <t>Elaborar el análisis de elaboración documentaria, febrero-mayo</t>
  </si>
  <si>
    <t>..\..\..\..\..\..\..\Users\Calidad\Pictures\Gestión ACD_2025\b6ba6d6d-d9de-48d6-83d9-1ebbf524964a.jfif</t>
  </si>
  <si>
    <t>Elaborar informe mensual ACD-Abril-Mayo</t>
  </si>
  <si>
    <t xml:space="preserve">Elaborar formatos a necesitar en el PC de implementación 5S </t>
  </si>
  <si>
    <t>RQ -CDG</t>
  </si>
  <si>
    <t xml:space="preserve">Elaborar y socializar cuadro de evalución 5S-Proceso de Mejora Continua </t>
  </si>
  <si>
    <t>..\..\..\ACD_06_ES_ESTANDAR\ES-ACD-DSI-GG-17_Proceso de Mejora Continua 5S.pdf</t>
  </si>
  <si>
    <t>ES-ACD-DSI-GG-17</t>
  </si>
  <si>
    <t xml:space="preserve">                                                                                                                                                   </t>
  </si>
  <si>
    <t>No se tiene elaborado el informe de Análisis Situacional y el PAC 5S</t>
  </si>
  <si>
    <t>No se tiene elaborado el análisis de la Elaboración Documentada Febrero-Mayo</t>
  </si>
  <si>
    <t>No se tiene elaborado el informe mensual ACD / Abril-Mayo</t>
  </si>
  <si>
    <t>RQ-CDG</t>
  </si>
  <si>
    <t>Estandarizar el MOF de Asistentes y Jefes de ALE/AAC/ALS</t>
  </si>
  <si>
    <t xml:space="preserve">No se tiene todos los formatos a necesitar en el PC  de implementación 5s </t>
  </si>
  <si>
    <t xml:space="preserve">Generar una herramienta para evaluar el avance mensual de las áreas respecto a las 5S </t>
  </si>
  <si>
    <t>No se tiene un modelo de informe o acta para la entrega de cargo ALA/AAC</t>
  </si>
  <si>
    <t>No se tiene el MOF de asistentes de ALE/AAC/ALS</t>
  </si>
  <si>
    <t xml:space="preserve">No se tiene normas a seguir respecto a Calidad y Entorno laboral para la 4S </t>
  </si>
  <si>
    <t>Acuerdos con GG respecto al tema</t>
  </si>
  <si>
    <t>Elaborar de Normas de Calidad y Entorno Laboral -4S</t>
  </si>
  <si>
    <t xml:space="preserve">Elaborar  Informe de Formación Continua/ Capacitación 26MAY- ACD/ATH </t>
  </si>
  <si>
    <t>Se requiere realizar el informe de Formación Continua de la Capacitación ejecutada el 26MAY</t>
  </si>
  <si>
    <t>Análizar data y resultados de cuadro de evaluación 5 s /Semana 3 - MAYO</t>
  </si>
  <si>
    <t>Ejecutar PC 5s: Solicitar Requerimiento por cada àrea, y generar lista general</t>
  </si>
  <si>
    <t>Elaborar Modelo de Acta o Informe de Entrega de Cargo ALE/AAC</t>
  </si>
  <si>
    <t>Se requiere analizar la data y los resultados del cuadro de evaluación Sem 3-MAYO</t>
  </si>
  <si>
    <t>Se requiere ejecutar lo programado de acuerdo al PC implementaciòn 5S</t>
  </si>
  <si>
    <t>Levantar observaciones</t>
  </si>
  <si>
    <t>Evaluación 4° SEMANA - OFICINAS ADM -Implementación 5S</t>
  </si>
  <si>
    <t xml:space="preserve">PC 5S pto 6-7: Monitorear el cumplimiento de mejora para Tomas electricas y diseños de layout - ASS </t>
  </si>
  <si>
    <t>PC 5S pto 5: Cumplir con el Requerimiento de lo necesario para la implementación 5S</t>
  </si>
  <si>
    <t>Ed y AMC elaborar diseño de Contenedores</t>
  </si>
  <si>
    <t>Enviar la info. sobre el acceso a las carpetas - Proeyecto AST</t>
  </si>
  <si>
    <t>Ejecutar PC 5s: Monitorear cumplimiento de  Letreros (Nombres de àreas) AMC</t>
  </si>
  <si>
    <t>Elaborar el PC para validar la entrega de Bienes y/o doc. Y el cumplimiento de inducción</t>
  </si>
  <si>
    <t>RQ-AST</t>
  </si>
  <si>
    <t>Elaborar el FO /informe para el Diagnostico Situacional - Doc adjunto al Acta de entrega de C.</t>
  </si>
  <si>
    <t>Cumplir con el PC de inspecciones a CEDIS-ASS-ACD</t>
  </si>
  <si>
    <t>FO de Acta de Entrga de Cargo</t>
  </si>
  <si>
    <t>Pedir a ED</t>
  </si>
  <si>
    <t>..\..\..\ACD_09_OTROS\ACD_PROYECTOS\Arquitectura Básica del SG de Control Documentario  AST-UTM  .pdf</t>
  </si>
  <si>
    <t>Arquitectura Básica del SG Coltrol Documentario</t>
  </si>
  <si>
    <t>Cumplir PC hasta el día sabado</t>
  </si>
  <si>
    <t>No se tiene el Proyecto de carpetas, con la info solicitada por AST</t>
  </si>
  <si>
    <t>Se requiere realizar inspecciones a las CEDIS -ASS-ACD</t>
  </si>
  <si>
    <t>Inventario</t>
  </si>
  <si>
    <t xml:space="preserve">No se tiene el modelo de diagnóstico Situacional, que acompaña el Acta </t>
  </si>
  <si>
    <t>..\..\ES_2025\ES-ACD-2025\ES-ACD-DSI-GG-19_DIAGNÓSTICO SITUACIONAL.docx</t>
  </si>
  <si>
    <t>ES-ACD-DSI-GG-19</t>
  </si>
  <si>
    <t xml:space="preserve">Generar PC para el Briefing ADM </t>
  </si>
  <si>
    <t xml:space="preserve">Generar cronograma de limpieza de escaleras, pasadizos y zonas comunes </t>
  </si>
  <si>
    <t>Realizar informes de Inspección CEDIS</t>
  </si>
  <si>
    <t>ACD-ASS</t>
  </si>
  <si>
    <t>Realizar encuesta de Atención al cliente - DDC</t>
  </si>
  <si>
    <t>Elaboración y validación de FO de Evaluación de Desempeño por encargo de ATH.</t>
  </si>
  <si>
    <t>RQ.-CDG</t>
  </si>
  <si>
    <t>Elaborar un Compartido CANVAN para recolectar los Briefing realizados</t>
  </si>
  <si>
    <t>Evaluación de Informes de Gestión por encargo de GG.</t>
  </si>
  <si>
    <t xml:space="preserve">Mejorar contenido PC para el Briefing </t>
  </si>
  <si>
    <t>RQ-5S</t>
  </si>
  <si>
    <t>Diseño de Autocad, del Punto limpio</t>
  </si>
  <si>
    <t>Elaborar Informe 5S - Mes de Mayo</t>
  </si>
  <si>
    <t xml:space="preserve">Elaboración de la Ficha Técnica de Evaluación 5S </t>
  </si>
  <si>
    <t>FO-ACD-DSI-GG-24</t>
  </si>
  <si>
    <t>..\ACD_04_FO_FORMATOS\FO-ACD-DSI-GG-24_FICHA TÉCNICA DE EVALUACIÓN DE LA 5S.xlsx</t>
  </si>
  <si>
    <t>Recibido para su Aprobación</t>
  </si>
  <si>
    <t>No se tiene solicitado los letreros con los nombres de cada área- Implementación 5S</t>
  </si>
  <si>
    <t>No se tiene monitoreado el cumpliemiento de las tomas eléctricas y diseño de layout</t>
  </si>
  <si>
    <t>Se necesita elabora el Requerimiento general para la implementación 5S</t>
  </si>
  <si>
    <t>Validar el material del Briefing compartido en la reunión de apertura</t>
  </si>
  <si>
    <t>Elaborar el PC de Inspecciones Mensual para las CEDI´S - ACD</t>
  </si>
  <si>
    <t>Elaborar RE de Inspecciones Metodología 5BES-C</t>
  </si>
  <si>
    <t>Elaborar y Mejorar el FO de la Ficha Tecnica de Evaluación 5S semanal y mensual</t>
  </si>
  <si>
    <t>Evaluación 1° SEMANA - OFICINAS ADM -Implementación 5S-JUNIO</t>
  </si>
  <si>
    <t>Elaborar informe de Gestiòn Visita CEDIS / Tarapaca y Chilca</t>
  </si>
  <si>
    <t>FO-ACD-DSI-GG-24/ Junio</t>
  </si>
  <si>
    <t>PC INSPECCIONES  DE CEDI´S-ACD-03</t>
  </si>
  <si>
    <t>..\ACD_09_OTROS\ACD_PC\PC INSPECCIONES  DE CEDI´S-ACD-03.pdf</t>
  </si>
  <si>
    <t>Ejecutar inspecciones a CEDIS según el PC Mensual-Tarapaca y Chilca</t>
  </si>
  <si>
    <t>Ejecutar Inspección programada a CEDI Saños y CEDI Almacén Central</t>
  </si>
  <si>
    <t>Validar tema Briefing -ACF para la reunión de apertura (12JUN25)</t>
  </si>
  <si>
    <t xml:space="preserve">Realizar la Socialización respectiva del PC de Limpieza -ADM </t>
  </si>
  <si>
    <t>Elaborar informe de Gestiòn Visita CEDIS / Saños y Almacén Central</t>
  </si>
  <si>
    <t>RE-ACD-DSI-GG-13</t>
  </si>
  <si>
    <t>Remitir el editable para su revición o comunicar su estado</t>
  </si>
  <si>
    <t>Informe N°12 y N°13</t>
  </si>
  <si>
    <t>En revición por ED</t>
  </si>
  <si>
    <t>https://docs.google.com/spreadsheets/d/1uZiTOal6XPfB0RvHBn4bZdvY4rmgQtXX/edit?usp=sharing&amp;ouid=103320021900326815210&amp;rtpof=true&amp;sd=true</t>
  </si>
  <si>
    <t>LISTA DE LECCIONES PARA EL BRIEFING-ACF</t>
  </si>
  <si>
    <t>Aun no se tiene la 4° revición 5S a las oficinas ADM</t>
  </si>
  <si>
    <t>FO-ACD-DSI-GG-24/ SEMANA 4-MAYO</t>
  </si>
  <si>
    <t xml:space="preserve">No se tiene el PC para la entrega de Bienes y/o doc. Y el cumplimiento de induccion. </t>
  </si>
  <si>
    <t>No se tiene un PC para realizar el Briefng - ADM</t>
  </si>
  <si>
    <t xml:space="preserve">No se tiene un PC de limpieza estandar </t>
  </si>
  <si>
    <t>Es necesario realizar el informe respectivo de la inspeccione spor CEDI</t>
  </si>
  <si>
    <t>No se tiene una encuesta de atención al cliente -DDC</t>
  </si>
  <si>
    <t>Se necesita validar el FO de Evaluación de Desempeño - ATH</t>
  </si>
  <si>
    <t>JeanCarlo Aliaga</t>
  </si>
  <si>
    <t>PC INSPECCIONES  DE CEDI´S-ACD-MAYO</t>
  </si>
  <si>
    <t>..\ACD_09_OTROS\ACD_PC\PC INSPECCIONES CEDIS\PC INSPECCIONES  DE CEDI´S-ACD-MAYO.xlsx</t>
  </si>
  <si>
    <t>RE-ACD-DSI-GG-11_ Briefing Diario UTM 2025.xlsx</t>
  </si>
  <si>
    <t>RE-ACD-DSI-GG-12_ Programa y Cronograma de Limpieza.xlsx</t>
  </si>
  <si>
    <t>RE-ACD-DSI-GG-12</t>
  </si>
  <si>
    <t>RE-ACD-DSI-GG-11</t>
  </si>
  <si>
    <t>Infome CEDIS -MAYO-ASS</t>
  </si>
  <si>
    <t xml:space="preserve">Encuesta de Satisfacción </t>
  </si>
  <si>
    <t>https://docs.google.com/forms/d/e/1FAIpQLSeeIJ0UN6428hxZGH_M09dLck8DOkGjzNCfSX2VZrULTp3cSw/viewform?usp=header</t>
  </si>
  <si>
    <t>Es necesario revisar los temas compartidos en briefing diario</t>
  </si>
  <si>
    <t xml:space="preserve">Se necesita elaborar y mejorar el FO de la Ficha Tecnica de Evaluación 5S semanal y mensual </t>
  </si>
  <si>
    <t>No se tiene un RE de inspecciones para CEDIs-Metodología 5BES-C</t>
  </si>
  <si>
    <t>Se requiere mostrar un material para compartirlo en el briefing</t>
  </si>
  <si>
    <t>Es necesario revisar y evaluar los informes realizados por cada área</t>
  </si>
  <si>
    <t>No se tiene elaborado el informe 5S para el mes de Mayo</t>
  </si>
  <si>
    <t>SE requiere mejorar el contenido PC del Briefing de apertura</t>
  </si>
  <si>
    <t>Se necesita entregar el diseño del Punto Limpio en Autocad</t>
  </si>
  <si>
    <t>Elaborar el PC de inspección Mensual -I CEDI¨S-ACD</t>
  </si>
  <si>
    <t xml:space="preserve">No se tiene una ficha de evaluación 5S </t>
  </si>
  <si>
    <t>Ejecutar inspecciones a CEDIS según el PC Mensual-Tambo y Lorente</t>
  </si>
  <si>
    <t>Revisar Cartel informativo AMS, medios de Pago AUTORIZADOS, Politica Cero Créditos y Pagos</t>
  </si>
  <si>
    <t>Ejecutar inspecciones a CEDIS según el PC Mensual-Chupaca</t>
  </si>
  <si>
    <t xml:space="preserve">Elaborar informe de Gestiòn Visita CEDIS / Tambo </t>
  </si>
  <si>
    <t>Elaborar informe de Gestiòn Visita CEDIS / Lorente</t>
  </si>
  <si>
    <t>INFORME N° 016 - INSPECCIÓN CEDI 101 EL TAMBO</t>
  </si>
  <si>
    <t>INFORME N° 015 - CEDI 105 ALMACEN CENTRAL/ INFORME N° 014 - CEDI 102 SAÑOS</t>
  </si>
  <si>
    <t>Reprogramado</t>
  </si>
  <si>
    <t>INFORME N° 017 - INSPECCIÓN CEDI 107 LORENTE</t>
  </si>
  <si>
    <t>FO Evaluación de Desempeño</t>
  </si>
  <si>
    <t>Elaborar PR de Política Cero Creditos</t>
  </si>
  <si>
    <t>Elaborar PR de Inspección</t>
  </si>
  <si>
    <t>https://www.canva.com/design/DAGpU0iNzyY/qAjdRLkS7FinDFCxk0UsPw/edit?utm_content=DAGpU0iNzyY&amp;utm_campaign=designshare&amp;utm_medium=link2&amp;utm_source=sharebutton</t>
  </si>
  <si>
    <t>Reunión de Apertura - BRIEFING-ADM</t>
  </si>
  <si>
    <t>INFORME N° 011-25-ACD-DSI-UTM</t>
  </si>
  <si>
    <t>..\ACD_09_OTROS\ACD_INFORMES\2025_INFORMES\INFORME N° 011-25-ACD-DSI-UTM.pdf</t>
  </si>
  <si>
    <t>RE-ACD-DSI-GG-11_ Briefing Diario UTM 2025</t>
  </si>
  <si>
    <t>Medidas del Mueble para el Punto Limpio</t>
  </si>
  <si>
    <t>..\..\..\..\..\Users\Calidad\Pictures\Gestión ACD_2025\Medidas Contenedor.PNG</t>
  </si>
  <si>
    <t>RE-ACD-DSI-GG-13_ Inspección de metodología 5BESC.docx</t>
  </si>
  <si>
    <t>PC INSPECCIONES  DE CEDI´S-ACD-JUNIO</t>
  </si>
  <si>
    <t>..\ACD_09_OTROS\ACD_PC\PC INSPECCIONES CEDIS\PC INSPECCIONES  DE CEDI´S-ACD-JUNIO.pdf</t>
  </si>
  <si>
    <t>Se necesita cumplir con el PC de inspección</t>
  </si>
  <si>
    <t>Se necesita realizar la inspección semanla de inspección 5S</t>
  </si>
  <si>
    <t>Se requiere formalizar y socializar el formato de limpieza ADM</t>
  </si>
  <si>
    <t xml:space="preserve">Se requiere validar los temas para el Briefing </t>
  </si>
  <si>
    <t>Respecto a las inspecciones se necesita formalizar la información</t>
  </si>
  <si>
    <t>Se requiere estandarizar los medios de pago, tarifas e informes importantes en la zona de caja</t>
  </si>
  <si>
    <t>Realizar una bitacora con las políticas a compartir para los Jefes de Ventas y Producción</t>
  </si>
  <si>
    <t>La Política cero Creditos requiere un PR</t>
  </si>
  <si>
    <t xml:space="preserve">Se requiere elaborar un PR DE Inspección </t>
  </si>
  <si>
    <t>PC 001-ADM-JUNIO_LIMPIEZA PASADIZOS Y BAÑOS</t>
  </si>
  <si>
    <t xml:space="preserve">..\ACD_09_OTROS\ACD_INFORMES\2025_INFORMES\INFORME N° 012 - INSPECCIÓN CEDI 106 TARAPACA.pdf </t>
  </si>
  <si>
    <t>..\ACD_09_OTROS\ACD_INFORMES\2025_INFORMES\INFORME N° 013 - INSPECCIÓN CEDI 103 CHILCA.pdf</t>
  </si>
  <si>
    <t>..\ACD_09_OTROS\ACD_REQUERIMIENTOS\RQ-100-003-Materiales de Limpieza.xlsx</t>
  </si>
  <si>
    <t>https://www.canva.com/design/DAGoNdiwXgg/R_r7uKMnxU-MwwXoYTSV6g/edit?utm_content=DAGoNdiwXgg&amp;utm_campaign=designshare&amp;utm_medium=link2&amp;utm_source=sharebutton</t>
  </si>
  <si>
    <t>Buenas Prácticas para la Limpieza y Orden del Armario - Kitchrnette-Salon de Entrevistas</t>
  </si>
  <si>
    <t>..\ACD_09_OTROS\ACD_PC\PC LIMPIEZA PASADIZOS Y BAÑOS\PC 001-ADM-JUNIO_ APRO. LIMPIEZA PASADIZOS Y ZONAS COMUNES.pdf</t>
  </si>
  <si>
    <t>..\ACD_09_OTROS\ACD_INFORMES\2025_INFORMES\INFORME N° 015 - INSPECCIÓN CEDI 105 ALMACEN CENTRAL.pdf</t>
  </si>
  <si>
    <t>..\ACD_09_OTROS\ACD_INFORMES\2025_INFORMES\INFORME N° 016 - INSPECCIÓN CEDI 101 EL TAMBO.pdf</t>
  </si>
  <si>
    <t>..\ACD_09_OTROS\ACD_INFORMES\2025_INFORMES\INFORME N° 017 - INSPECCIÓN CEDI 107 LORENTE.pdf</t>
  </si>
  <si>
    <t>ES-ACF-DDA-GG-01</t>
  </si>
  <si>
    <t>Revición de Políticas a Compartir -Política Despacho de Mercadería</t>
  </si>
  <si>
    <t>Revición y actualización de Políticas a Compartir -Política Acuerdos Comerciales internos</t>
  </si>
  <si>
    <t>Requerimiento de documentos comporativos ATH</t>
  </si>
  <si>
    <t>Revición de Informes ASS</t>
  </si>
  <si>
    <t>Elaborar Política de Venta de Servicios, Política de Listas de Precios</t>
  </si>
  <si>
    <t>Elaborar el organigrama nominal por CEDIS - ENCARGO CDG</t>
  </si>
  <si>
    <t>Realizar la Mejora  respectiva del PC de Limpieza -CEDI TAMBO (de acuerdo a sus necesidades)</t>
  </si>
  <si>
    <t>..\..\..\ASS-BPM-2024\SG-ADM\ASS_06_ES_ESTANDAR\ES-ASS-DSI-GG-04_Política Control de Accesos Clientes.pdf</t>
  </si>
  <si>
    <t>Validar código</t>
  </si>
  <si>
    <t>Ed envio el requerimiento, mas no lo remitio para su documentación</t>
  </si>
  <si>
    <t>Revición y actualización de Políticas a Compartir -Política Gestión de Reclamaciones</t>
  </si>
  <si>
    <t>Revición y actualización de Políticas a Compartir -Política Cero Creditos</t>
  </si>
  <si>
    <t>Elaborar informe de Gestiòn Visita CEDIS / Chupaca</t>
  </si>
  <si>
    <t>Elaborar y mejorar RE de Conformidad de Productividad-ATH</t>
  </si>
  <si>
    <t>RE-ATH-DDA-GG-08</t>
  </si>
  <si>
    <t>Realizar inspecciòn virtual CEDI-Ayacucho y Huanuco</t>
  </si>
  <si>
    <t>Generar el Material para la Socialización CEDIS-Carteles informativos-Zona de Caja</t>
  </si>
  <si>
    <t>Generar el Material para la Socialización Provincias-Carteles informativos-Zona de Caja</t>
  </si>
  <si>
    <t>FO Asignación Bienes y Enseres 013-ACD-2025</t>
  </si>
  <si>
    <t>..\..\..\..\C) DDA-BPM-2024\ATH-BPM-2024\SG-ADM\ATH_05_RE_REGISTRSO\RE-ATH-DDA-GG-08_ Conformidad de Productividad.xlsx</t>
  </si>
  <si>
    <t>INFORME N° 019 - INSPECCIÓN CEDI 300 AYACUCHO</t>
  </si>
  <si>
    <t>..\ACD_09_OTROS\ACD_INFORMES\2025_INFORMES\INFORME N° 019 - INSPECCIÓN CEDI 300 AYACUCHO.pdf</t>
  </si>
  <si>
    <t>Realizar Informe Mensual -ACD-Junio</t>
  </si>
  <si>
    <t>Elaborar informe  de Inspección virtual -Huanuco</t>
  </si>
  <si>
    <t>Elaborar informe  de Inspección virtual -Ayacucho</t>
  </si>
  <si>
    <t>INFORME N° 020 - INSPECCIÓN CEDI 400 HUANUCO</t>
  </si>
  <si>
    <t>INFORME N° 021-25-ACD-DSI-UTM</t>
  </si>
  <si>
    <t>Enviado a Cordinación de Gerencia</t>
  </si>
  <si>
    <t>En revición por Coordinación de Gerencia</t>
  </si>
  <si>
    <t>Realizar Informe Mensual del Cumplimiento al PC de Limpieza-Junio</t>
  </si>
  <si>
    <t>INFORME N° 023 - INFORME DE LIMPIEZA</t>
  </si>
  <si>
    <t xml:space="preserve">Evaluar y realizar el listado ADM del AIC para su elaboración correspondiente. </t>
  </si>
  <si>
    <t>Carpeta Bitacora</t>
  </si>
  <si>
    <t>Actualizar PC de Limpieza de Pasadizos y zonas comúnes</t>
  </si>
  <si>
    <t>Actualizar PC de Limpieza Servicio Higiénico Mujeres</t>
  </si>
  <si>
    <t>RQ-AVA</t>
  </si>
  <si>
    <t>ES-AVA-DDC-GG-01_Política de Gestión de Reclamos</t>
  </si>
  <si>
    <t>ES-ACF-DDA-GG-02_Política de Acuerdo Comercial Interno</t>
  </si>
  <si>
    <t>Instructivo de Gestión de Remuneraciones-ATH</t>
  </si>
  <si>
    <t>Ejecutar reuníon planificada: Gestión de Indicadores AST -ACD</t>
  </si>
  <si>
    <t>Ejecutar reuníon planificada: Gestión de Indicadores ACF -ACD</t>
  </si>
  <si>
    <t>Ejecutar reuníon planificada: Gestión de Indicadores AMS -ACD</t>
  </si>
  <si>
    <t>Ejecutar reuníon planificada: Gestión de Indicadores ATH -ACD</t>
  </si>
  <si>
    <t xml:space="preserve">Requerimiento de observaciones respecto a los KPI por área- antes de las reuniones. </t>
  </si>
  <si>
    <t>Elaborar PR de la Evaluación de la Satisfacción del cliente</t>
  </si>
  <si>
    <t>Elaborar DF para el PR de Evaluación de la Satisfacción del cliente</t>
  </si>
  <si>
    <t>Elaboración de Informe de Incumpliemiento para AMC</t>
  </si>
  <si>
    <t>Revisar Speach de venta en Formato y fondo - elaborado por AMC</t>
  </si>
  <si>
    <t>Revisar Speech de Venta en contenido-AMC</t>
  </si>
  <si>
    <t>Elaborar instructivo de Limpieza - ACD</t>
  </si>
  <si>
    <t>ES-ACD-DSI-GG-8.7</t>
  </si>
  <si>
    <t>Estandarizar material de expocisión y matrices-CEDIS/ Taller Gestión Adm y Comercial</t>
  </si>
  <si>
    <t>Enviado a Ed para su revición</t>
  </si>
  <si>
    <t>PC 002-ADM-JULIO_LIMPIEZA PASADIZOS Y BAÑOS</t>
  </si>
  <si>
    <t>PR-ACD-DSI-GG-07</t>
  </si>
  <si>
    <t>Enviado con CDG</t>
  </si>
  <si>
    <t>IN-ATH-DDA-GG-02</t>
  </si>
  <si>
    <t>Citación 023-ACD</t>
  </si>
  <si>
    <t>Acta de R. N°013-ACD de fecha 01JUL25.</t>
  </si>
  <si>
    <t>Ruzmeri P.</t>
  </si>
  <si>
    <t>Acta de R. N°015-ACD de fecha 10JUL25.</t>
  </si>
  <si>
    <t>Citación 024-ACD</t>
  </si>
  <si>
    <t>Citación 025-ACD</t>
  </si>
  <si>
    <t>Citación 026-ACD</t>
  </si>
  <si>
    <t>Heidy Huaroc H.</t>
  </si>
  <si>
    <t>Rosario Sharol</t>
  </si>
  <si>
    <t>Acta de R. N°014-ACD de fecha 04JUL25.</t>
  </si>
  <si>
    <t>Acta de R. N°016-ACD de fecha 11JUL25.</t>
  </si>
  <si>
    <t>IN-AVA-DDC-GG-01</t>
  </si>
  <si>
    <t>Elaborar un Registro de soporte técnico-AST</t>
  </si>
  <si>
    <t>RE-AST-DSI-GG-02</t>
  </si>
  <si>
    <t>Modelo PPTS UTM 2025</t>
  </si>
  <si>
    <t>Realizar la socialización respectiva del PR Satisfacción del cliente y IN de Speech de Ventas - JV</t>
  </si>
  <si>
    <t>IN-AVA-DDC-GG-01 / PR-ACD-DSI-GG-07</t>
  </si>
  <si>
    <t>Generar un Sistema de Control de Proyectos EWT-AST.2025</t>
  </si>
  <si>
    <t>Sistema de Control de Proyectos EWT-AST.2025</t>
  </si>
  <si>
    <t xml:space="preserve">Actualizar el RE de Plantilla de Monitoreo ACF </t>
  </si>
  <si>
    <t>RQ-ACF</t>
  </si>
  <si>
    <t>Actualizar información para una CEDE</t>
  </si>
  <si>
    <t>Mejorar el Indicador de Horas Extras ATH</t>
  </si>
  <si>
    <t>Actualizar y mejorar los indicadores de AST</t>
  </si>
  <si>
    <t>Implementar el Programa Anual DDC - CEDI SAÑOS</t>
  </si>
  <si>
    <t>Actualizar Organigrama Estructural -ATH</t>
  </si>
  <si>
    <t xml:space="preserve">Actualizar Indicadores ACF según los acuerdos del acta. </t>
  </si>
  <si>
    <t>Acta de R. N°015-ACD de fecha 01JUL25.</t>
  </si>
  <si>
    <t>Letreros con los nombres de las oficinas -ADM</t>
  </si>
  <si>
    <t>Observaciones realizadas</t>
  </si>
  <si>
    <t>MVC-AMC</t>
  </si>
  <si>
    <t>Presentar REQ para los contenedores del Punto Limpio</t>
  </si>
  <si>
    <t>Evaluar 2° SEMANA - OFICINAS ADM -Implementación 5S-JULIO</t>
  </si>
  <si>
    <t xml:space="preserve">Gestionar la elaboración del Croquis ADM </t>
  </si>
  <si>
    <t xml:space="preserve">MVC-ED </t>
  </si>
  <si>
    <t>Actualizar indicadores AMS según acuerdos realizados en el acta</t>
  </si>
  <si>
    <t>Elaborar formatos de Inspección para el ACF</t>
  </si>
  <si>
    <t>Maycol Hinojoza</t>
  </si>
  <si>
    <t>Gestionar la elaboración de carteles informativos para las zonas de caja -ACF</t>
  </si>
  <si>
    <t>Actualizar DF referente al PR de Ventas Directas - AVA.</t>
  </si>
  <si>
    <t>Actualizar DF referente al PR Ventas Social Selling - AVA.</t>
  </si>
  <si>
    <t>Actualizar DF referente al PR de Quejas y Reclamos - AVA.</t>
  </si>
  <si>
    <t>ES-AVA-DDC-GG-01_Ventas Directas en Tienda V2</t>
  </si>
  <si>
    <t>ES-AVA-DDC-GG-02_ Ventas Social Selling V2</t>
  </si>
  <si>
    <t>ES-AVA-DDC-GG-01_Quejas y Reclamos V2</t>
  </si>
  <si>
    <t xml:space="preserve">Elaborar PC de Inspecciones CEDIS -  Julio </t>
  </si>
  <si>
    <t>RQ.CDG</t>
  </si>
  <si>
    <t>Ejecutar Inspección programada a CEDI TARAPACA  y CEDI CHILCA</t>
  </si>
  <si>
    <t>Ejecutar Inspección programada a CEDI LORENTE y CEDI CHUPACA</t>
  </si>
  <si>
    <t>Elaborar Informe de Inspección CEDI TARAPACA Y CHILCA</t>
  </si>
  <si>
    <t>Elaborar Informe de Inspección CEDI LORENTE Y CEDI CHUPACA</t>
  </si>
  <si>
    <t>Ejecutar Inspección programada a CEDI AAC - CEDI SAÑOS</t>
  </si>
  <si>
    <t>Elaborar Informe de Inspección CEDI AAC- CEDI SAÑOS</t>
  </si>
  <si>
    <t>Ejecutar Inspección programada a CEDI TAMBO Y ADM</t>
  </si>
  <si>
    <t>Elaborar Informe de Inspección CEDI TAMBO</t>
  </si>
  <si>
    <t xml:space="preserve">Elaborar Reporte Evaluación 5S - ADM  </t>
  </si>
  <si>
    <t xml:space="preserve">Ejecutar Inspección Virtual programada a UN HUANUCO </t>
  </si>
  <si>
    <t>Elaborar Informe de Inspección UN HUANUCO</t>
  </si>
  <si>
    <t>Ejecutar Inspección Virtual programada a UN AYACUCHO MILLER - AYACUCHO ARENALES</t>
  </si>
  <si>
    <t>Elaborar Informe de Inspección UN AYACUCHO MILLER - ARENALES</t>
  </si>
  <si>
    <t>Elaborar el RE de Sistema de Gestión Monitoreo , vigilancia y control del PAC - INSPECCIONES</t>
  </si>
  <si>
    <t>Apoyar en la tarea de CEDI SAÑOS - Capacitación / Gestión Comercial</t>
  </si>
  <si>
    <t>RQ.ACD</t>
  </si>
  <si>
    <t>Realizar Informe Mensual del Cumplimiento al PC de Limpieza-Julio</t>
  </si>
  <si>
    <t xml:space="preserve">Elaborar ES Acta de Ajuste de Inventario -ACF </t>
  </si>
  <si>
    <t>Elaborar una encuesta de Evaluación de Capacitación- ACF</t>
  </si>
  <si>
    <t>Actualizar PC de Limpieza para Baños</t>
  </si>
  <si>
    <t>Unificar los PAC planteados en los informes para cada CEDI</t>
  </si>
  <si>
    <t>Actualizar PC de Limpieza para Pasadizos - Agosto</t>
  </si>
  <si>
    <t>Actualizar y enviar PPT para inducción-Agosto</t>
  </si>
  <si>
    <t xml:space="preserve">Inducción Laboral Estación ACD UTM-2025 </t>
  </si>
  <si>
    <t>..\ACD_09_OTROS\ACD_MATERIAL INDUCCIÓN\Inducción Laboral Estación ACD UTM-2025 (1).pptx</t>
  </si>
  <si>
    <t>CEDI SAÑOS2025 GESTIÓN COMERCIAL - CAPACITACIÓN 2</t>
  </si>
  <si>
    <t>..\ACD_09_OTROS\ACD_MATERIAL INDUCCIÓN\CEDI SAÑOS2025 GESTIÓN COMERCIAL - CAPACITACIÓN 2.pptx</t>
  </si>
  <si>
    <t>Elaborar el FO para el levantamiento de no Conformidades (LNC) para el MVC del PAC - INSPECCIONES</t>
  </si>
  <si>
    <t>RE-ACD-DSI-GG-15 LNC-UTM 2025-V1_Levantamiento de No Conformidades</t>
  </si>
  <si>
    <t>RE-ACD-DSI-GG-15 LNC-UTM 2025-V1_Levantamiento de No Conformidades.xlsx</t>
  </si>
  <si>
    <t xml:space="preserve">Realizar la Inducción programada para el puesto de Jefe de AAC -ATH </t>
  </si>
  <si>
    <t>Registro de Asistencia-Inducción 022-ACD</t>
  </si>
  <si>
    <t>Regsitro de Asistencia 022-ACD - Doc Físico</t>
  </si>
  <si>
    <t>RE-ACD-DSI-GG-16_Gestión de Actividades SVG-NTM-2025</t>
  </si>
  <si>
    <t>Generar el RE para la Gestión de Actividades SVG-NTM-2025 calendario</t>
  </si>
  <si>
    <t>RE-ACD</t>
  </si>
  <si>
    <t>RE-ACD-DSI-GG-16_Gestión de Actividades SVG-NTM-2025.xlsx</t>
  </si>
  <si>
    <t>Instructivo de Ficha de Evaluación de Remuneraciones Operativas-ATH</t>
  </si>
  <si>
    <t>En revición por ED / URGENTE</t>
  </si>
  <si>
    <t>Realizar lña política de Alcolimetria - ASS</t>
  </si>
  <si>
    <t>ES-ASS-DSI-GG-05_Política Control de ALCOHOLEMIA</t>
  </si>
  <si>
    <t>..\..\..\ASS-BPM-2024\SG-ADM\ASS_06_ES_ESTANDAR\ES-ASS-DSI-GG-2_ Objetivo NUSAC de SST 2025-1 (3).pdf</t>
  </si>
  <si>
    <t xml:space="preserve">Realizar el análisis estadístico para la precentación de la CEDI Saños </t>
  </si>
  <si>
    <t>RQ-CEDI SAÑOS</t>
  </si>
  <si>
    <t>Análisis Estadístico CEDI SAÑOS</t>
  </si>
  <si>
    <t>C:\Users\DELL\Documents\CEDI SAÑOS2025 GESTIÓN COMERCIAL - CAPACITACIÓN.pptx</t>
  </si>
  <si>
    <t xml:space="preserve">Gestionar RQ de economatos ADM </t>
  </si>
  <si>
    <t xml:space="preserve">Gestionar RQ de elementos de limpieza ADM </t>
  </si>
  <si>
    <t>RQ-100-008-MATERIALES DE OFICINA Y LIMPIEZA-ADM-ALE</t>
  </si>
  <si>
    <t>RQ-100-007_MATERIALES LIMPIEZA Y ECONOMATOS ADM-COMPRA ALE</t>
  </si>
  <si>
    <t>En lista de compra por ALE</t>
  </si>
  <si>
    <t>Aprobación de Mayu (FIRMA)</t>
  </si>
  <si>
    <t>Completar el FO de LNC - CEDI CHILCA - TARAPACA</t>
  </si>
  <si>
    <t>Completar el FO de LNC - CEDI LORENTE - CHUPACA</t>
  </si>
  <si>
    <t>Completar el FO de LNC - CEDI SAÑOS-AAC</t>
  </si>
  <si>
    <t xml:space="preserve">Completar el FO de LNC - CEDI TAMBO </t>
  </si>
  <si>
    <t>Completar el FO de LNC - UN AYAC. MILLER-AYAC. ARENALES</t>
  </si>
  <si>
    <t>Completar el FO de LNC - UN HUANUCO</t>
  </si>
  <si>
    <t>RE-ACD-DSI-GG-15 LNC- UTM 2025-V1 CEDI CHILCA/ TARAPACA</t>
  </si>
  <si>
    <t>RE-ACD-DSI-GG-15 LNC- UTM 2025-V1 CEDI LORENTE/ CHUPACA</t>
  </si>
  <si>
    <t>RE-ACD-DSI-GG-15  UTM 2025-V1  UN HUANUCO</t>
  </si>
  <si>
    <t>RE-ACD-DSI-GG-15  UTM 2025-V1  CEDI TAMBO</t>
  </si>
  <si>
    <t>RE-ACD-DSI-GG-15 LNC- UTM 2025-V1  CEDI SAÑOS-AAC</t>
  </si>
  <si>
    <t>RE-ACD-DSI-GG-15 LNC- UTM 2025-V1 UN AYAC. MILLER/UN AYAC. . ARENALES</t>
  </si>
  <si>
    <t>..\ACD_09_OTROS\ACD_LNC CEDIS\RE-ACD-DSI-GG-15 LNC-UTM 2025-V1_TARAPACA.xlsx</t>
  </si>
  <si>
    <t>..\ACD_09_OTROS\ACD_LNC CEDIS\RE-ACD-DSI-GG-15 LNC- UTM 2025-V1 CEDI LORENTE.xlsx</t>
  </si>
  <si>
    <t>..\ACD_09_OTROS\ACD_LNC CEDIS\RE-ACD-DSI-GG-15 LNC-UTM 2025-V1 SAÑOS.xlsx</t>
  </si>
  <si>
    <t>..\ACD_09_OTROS\ACD_LNC CEDIS\RE-ACD-DSI-GG-15 LNC-UTM 2025-V1 UN AYACUCHO ARENALES.xlsx</t>
  </si>
  <si>
    <t>..\ACD_09_OTROS\ACD_LNC CEDIS\RE-ACD-DSI-GG-15 LNC-UTM 2025-V1 UN HUÁNUCO.xlsx</t>
  </si>
  <si>
    <t>Vincular e Instalar el Drive con carpetas organizadas en las maquinas - ACD</t>
  </si>
  <si>
    <t>https://drive.google.com/drive/folders/1_2JysM9-l6_dFOjInDLZXeWZksu9l6HK?usp=sharing</t>
  </si>
  <si>
    <t xml:space="preserve"> Speech de la Herramienta de Integración LNC</t>
  </si>
  <si>
    <t>ES-ACD-DSI-GG-23_</t>
  </si>
  <si>
    <t>Evaluar 1° SEMANA - OFICINAS ADM -Implementación 5S-AGOSTO</t>
  </si>
  <si>
    <t>Generar la lista de documentos de las áreas - ADM</t>
  </si>
  <si>
    <t>Actualizar SCP-UTM 2025</t>
  </si>
  <si>
    <t xml:space="preserve">Gestionar Carteles Informativos - Zonas Comunes/ Punto Limpio </t>
  </si>
  <si>
    <t>Gestionar etiquetas para estandarizar los casilleros de cada CEDI - AMC</t>
  </si>
  <si>
    <t>Gestionar la estandarización de TABLEROS INFORMATIVOS en todas las CEDIS</t>
  </si>
  <si>
    <t>Gestionar la estandarización de CARTELES INFORMATIVOS -AMC</t>
  </si>
  <si>
    <t>..\ACD_09_OTROS\ACD_PC\PC LIMPIEZA PASADIZOS Y BAÑOS\PC 002-ADM-AGOSTO_LIMPIEZA PASADIZOS Y BAÑOS.xlsx</t>
  </si>
  <si>
    <t>PC 002-ADM-AGOSTO_LIMPIEZA PASADIZOS Y BAÑOS</t>
  </si>
  <si>
    <t>https://docs.google.com/forms/d/e/1FAIpQLScIedK-uQ81YppcTFFqY9280sD1dKkakL2KzQJiI6pQAnwu2w/viewform?usp=header</t>
  </si>
  <si>
    <t>Formulario ACF</t>
  </si>
  <si>
    <t>..\..\..\..\C) DDA-BPM-2024\ACF-BPM-2024\SG-ADM\ACF_06_ES_ESTANDAR\ES-ACF-DDA-GG-03 _ Acta de Ajuste de Inventario.docx</t>
  </si>
  <si>
    <t>..\ACD_09_OTROS\ACD_INFORMES\2025_INFORMES\INFORME N° 037- INSPECCIÓN CEDI 600 AYACUCHO ARENAlES 19JULIO.pdf</t>
  </si>
  <si>
    <t>INFORME N° 037- INSPECCIÓN CEDI 600 AYACUCHO ARENAlES 19JULIO</t>
  </si>
  <si>
    <t>..\ACD_09_OTROS\ACD_PC\PC INSPECCIONES CEDIS\PC INSPECCIONES DE CEDI´S - ACD-JULIO.pdf</t>
  </si>
  <si>
    <t>PC INSPECCIONES DE CEDI´S - ACD-JULIO</t>
  </si>
  <si>
    <t>..\ACD_09_OTROS\ACD_INFORMES\2025_INFORMES\INFORME N° 035 - INSPECCIÓN CEDI 400 HUANUCO 18JULIO.pdf</t>
  </si>
  <si>
    <t>INFORME N° 035 - INSPECCIÓN CEDI 400 HUANUCO 18JULIO</t>
  </si>
  <si>
    <t>ENVIADO CON ED PARA SU REV</t>
  </si>
  <si>
    <t xml:space="preserve">Actualizar diagramas de flujo AVA en forma y fondo. </t>
  </si>
  <si>
    <t>No se tiene programado las visitas a realizar a cada CEDI</t>
  </si>
  <si>
    <t>La carpeta física de los DF - AVA no estan actualizados</t>
  </si>
  <si>
    <t>ES-AVA-DDC-GG-8.1/8.2/8.3/8.4</t>
  </si>
  <si>
    <t>..\..\..\..\E) DDC-BPM-2024\AVA-BPM-2024\SG-BPM\AVA Anexo 8 Diagrama de Flujo\AVA Anexo 8 Diagrama de Flujo V3.xlsx</t>
  </si>
  <si>
    <t xml:space="preserve">Actualizar PPT de Gestión documentaria - Pioners </t>
  </si>
  <si>
    <t xml:space="preserve">Se requiere un material instructivo para realizar las visitas a las CEDIs y levantar las no conformidades. </t>
  </si>
  <si>
    <t>Evaluar 2° SEMANA - OFICINAS ADM -Implementación 5S-AGOSTO</t>
  </si>
  <si>
    <t xml:space="preserve">Actualizar el Organigrama Código base - según su fecha de actualización </t>
  </si>
  <si>
    <t>Se requiere Actualizar el Organigrama Código base</t>
  </si>
  <si>
    <t xml:space="preserve">Subir a Drive el FO de LNC para su aplicación </t>
  </si>
  <si>
    <t>RE-ACD-DSI-GG-15 LNC- GENERAL, TODAS LAS CEDIS</t>
  </si>
  <si>
    <t>..\ACD_09_OTROS\ACD_LNC CEDIS\RE-ACD-DSI-GG-15 LNC- GENERAL, TODAS LAS CEDIS.xlsx</t>
  </si>
  <si>
    <t>Elaborar y Aprobar el PC de vistas para la Esta. de Pioners en TODAS LAS CEDIS</t>
  </si>
  <si>
    <t>Se requiere pasar revición respecto a las 5S - oficinas ADM</t>
  </si>
  <si>
    <t>ES-ACD-DSI-GG-6.1</t>
  </si>
  <si>
    <t>Generar carteles ionformativos instructivo de limpieza áreas comunes</t>
  </si>
  <si>
    <t xml:space="preserve">No se tiene un carteles instructivos  de Limpieza para las áreas comunes </t>
  </si>
  <si>
    <t>RE.ACD-DSI-GG-5</t>
  </si>
  <si>
    <t>Gestionar la socialización y actualización del LNC - ADM</t>
  </si>
  <si>
    <t>ES-ACD-DSI-GG-15</t>
  </si>
  <si>
    <t>Gestionar la estandarización de CARTELES INFORMATIVOS -ASS</t>
  </si>
  <si>
    <t xml:space="preserve">Gestionar Carteles Informativos - Punto Limpio </t>
  </si>
  <si>
    <t>ACD-005_GESTIÓN DEL PUNTO LIMPIO</t>
  </si>
  <si>
    <t>..\ACD_09_OTROS\ACD_CARTELES INFORMATIVOS\ACD-005_GESTIÓN DEL PUNTO LIMPIO.pdf</t>
  </si>
  <si>
    <t xml:space="preserve">Realizar el MOF de Bienestar Laboral </t>
  </si>
  <si>
    <t>No se tiene el MOF de Bienes Laboral - ATH</t>
  </si>
  <si>
    <t>Gestionar Contenedores del Punto limpio -ACD</t>
  </si>
  <si>
    <t>No se tiene aun los contenedores del Punto Limpio - ADM</t>
  </si>
  <si>
    <t>RQ- ATH</t>
  </si>
  <si>
    <t>SHK</t>
  </si>
  <si>
    <t>Proceso / SP</t>
  </si>
  <si>
    <t>UTM</t>
  </si>
  <si>
    <t>No se ceunta con un tablero informativo estandarizado en cada CEDI.</t>
  </si>
  <si>
    <t>Realizar modelo base para su discusión, aprobación, implementación y socialización.</t>
  </si>
  <si>
    <t>RQ de CAI.</t>
  </si>
  <si>
    <t>Corresponde al servicio de asesoria de BPM.</t>
  </si>
  <si>
    <t>NGT</t>
  </si>
  <si>
    <t>No se ha realizado la conformación del CSST. 2025</t>
  </si>
  <si>
    <t xml:space="preserve">Ealborar el expediente y generar formulario de elecciones. </t>
  </si>
  <si>
    <t>RQ SUNAFIL</t>
  </si>
  <si>
    <t>SVG</t>
  </si>
  <si>
    <t>Asesoria de SIG - SST</t>
  </si>
  <si>
    <t>CSC</t>
  </si>
  <si>
    <t>No cuenta con herramientas de identidad coporativa socializada</t>
  </si>
  <si>
    <t>Elaboración de piezas graficas, motivar suaprobación, implementación y realizar la socialización.</t>
  </si>
  <si>
    <t>RQ SUSALUD</t>
  </si>
  <si>
    <t>Cynthya P.</t>
  </si>
  <si>
    <t>Esta pendiente generar informe de ELB y plan de trabajajo mes de Agosto - Set.</t>
  </si>
  <si>
    <t>SSR</t>
  </si>
  <si>
    <t>Se requiere hacer la inspección de extintores de todo el CEP.</t>
  </si>
  <si>
    <t>Realizar formatos de inspección y capacitar a personal de campo y programar fecha.</t>
  </si>
  <si>
    <t>Se debe programar URGENTE</t>
  </si>
  <si>
    <t>Se requerie programar la capacitación teorica del TTT.</t>
  </si>
  <si>
    <t>Elaboración de la PPT y validar con ATH del cliente.</t>
  </si>
  <si>
    <t>RQ GG/ATH.</t>
  </si>
  <si>
    <t>Renegociar fecha nueva</t>
  </si>
  <si>
    <t>CDQ</t>
  </si>
  <si>
    <t>Clínica QARA indica que la gestión empresarial y financiera estan siendo comprometidas.</t>
  </si>
  <si>
    <t>Jhon Suarez</t>
  </si>
  <si>
    <t>El medico especialista Requiere un certificado de RCP.</t>
  </si>
  <si>
    <t>Elaborar PTE para Certificado SBV-APH para RCP. Elaborar PTE para toma de decisiones.</t>
  </si>
  <si>
    <t xml:space="preserve">Elaborar PTE para Clínica QARA, gestión empresarial. </t>
  </si>
  <si>
    <t>RQ DIRESA - JUNIN</t>
  </si>
  <si>
    <t>KDC</t>
  </si>
  <si>
    <t>No cuenta con un sistema de ADM a nivel de Relaciones Laborales. Contrato vigente</t>
  </si>
  <si>
    <t>Actualización de RIT de KDC, versión 2-2025</t>
  </si>
  <si>
    <t>RQ MINTRA / SUNAFIL</t>
  </si>
  <si>
    <t xml:space="preserve">Se tienen dos casos con trabajadores que generar malas relaciones laborales. </t>
  </si>
  <si>
    <t xml:space="preserve">Elaborar expediente para KDC caso desvinculación </t>
  </si>
  <si>
    <t>Hacer supervisión: MVC</t>
  </si>
  <si>
    <t>No se cuenta con el MOF del área de Coordinador de Operaciones.</t>
  </si>
  <si>
    <t>Elaboración de MOF Coordinador de Operaciones UTM.</t>
  </si>
  <si>
    <t>Los organigramas del DDO requieren ser actualizados de acuerdo a los aportes generados.</t>
  </si>
  <si>
    <t>Validación de Organigramas de AAC, ALS y ALE de DDO-UTM</t>
  </si>
  <si>
    <t>RQ GG/ACD</t>
  </si>
  <si>
    <t>HAMPI</t>
  </si>
  <si>
    <t>Se requiere disponer de una base de datos de Equipos biomedicos, insumos y fármacos para valorización.</t>
  </si>
  <si>
    <t>Remitir scanner de valorización de EBM a Lima BM.</t>
  </si>
  <si>
    <t>RQ Biomedico</t>
  </si>
  <si>
    <t>Gary D.</t>
  </si>
  <si>
    <t>Los proveedores estan que demoran. Replantear estrategia</t>
  </si>
  <si>
    <t>AJE</t>
  </si>
  <si>
    <t>SIG</t>
  </si>
  <si>
    <t xml:space="preserve">No se ha podido conciliar con ex proveedore de servicios de Jauja y Huancayo. </t>
  </si>
  <si>
    <t>Generar reporte de actividades AJE para AJEPER.</t>
  </si>
  <si>
    <t>RQ GG/SIG</t>
  </si>
  <si>
    <t>Generar informe de cierre de planta.</t>
  </si>
  <si>
    <t>Se requiere elaborar y validar el RE de LNC.</t>
  </si>
  <si>
    <t>Elaborar el RE-LNC</t>
  </si>
  <si>
    <t xml:space="preserve">No se ha elegido al supervidor de SST según la LSST. </t>
  </si>
  <si>
    <t>Iniciar con el proceso de convocatoria y selección del S-SST</t>
  </si>
  <si>
    <t>ACP</t>
  </si>
  <si>
    <t xml:space="preserve">Gerente de Operaciones </t>
  </si>
  <si>
    <t>Gerente de Salud</t>
  </si>
  <si>
    <t xml:space="preserve">Diector Médico </t>
  </si>
  <si>
    <t>ACR</t>
  </si>
  <si>
    <t>QARA</t>
  </si>
  <si>
    <t>JGA</t>
  </si>
  <si>
    <t>La Clínica presenta un desafío interno con impacto en la 
administración económica y financiera de la UN y la UF.</t>
  </si>
  <si>
    <t xml:space="preserve">Elaborar PTE para realizar el Diagnostico situacional integral y planificación de gestión organizacional. </t>
  </si>
  <si>
    <t>PTE N°0182-SVG-2025</t>
  </si>
  <si>
    <t xml:space="preserve">Se requiere validar la formalidad  empresarial y su constitución para determinar la coherencia respecto al objeto social. </t>
  </si>
  <si>
    <t xml:space="preserve">Revisar la Minuta de Constitución </t>
  </si>
  <si>
    <t>GAE</t>
  </si>
  <si>
    <t>Se requiere determinar la línea de autoridad y dirección organizacional.</t>
  </si>
  <si>
    <t>Solicitar el registro en SUNARP / Vigencia de Poder</t>
  </si>
  <si>
    <t xml:space="preserve">Se requiere validar la situación organizacional del corporativo. </t>
  </si>
  <si>
    <t>Solicitar el Libro de Actas de Junta de Accionistas y evaluar la viabilidad de un Directorio o JDP.</t>
  </si>
  <si>
    <t>Se requiere determinar el nivel de participación de los accionistas e inversionistas en la persona Jurídica QARA.</t>
  </si>
  <si>
    <t>Participación accionaria (porcentaje de cada socio, capital declarado, aportes pendientes, etc.).</t>
  </si>
  <si>
    <t>Ficha RUC en SUNAT / Clave SOL</t>
  </si>
  <si>
    <t>GRD</t>
  </si>
  <si>
    <t xml:space="preserve">Validación de Licencia de Funcionamieno de la Persona Juridica. </t>
  </si>
  <si>
    <t>Certificado de ITSE-Certificado de INDECI Aprobado. (*) - Farmacia.</t>
  </si>
  <si>
    <t>PC - SVG-2025</t>
  </si>
  <si>
    <t>GCF</t>
  </si>
  <si>
    <t xml:space="preserve">Determinación del régimen en la cual se encuentra la Persona Juridica. </t>
  </si>
  <si>
    <t>Régimen tributario vigente: Régimen General, MYPE.</t>
  </si>
  <si>
    <t>Licencia de Funcionamiento Municipal - Centro Médico / Farmacia</t>
  </si>
  <si>
    <t>No se cuenta con un estructura organizacional del giro Comercial.</t>
  </si>
  <si>
    <t>Organigrama Estructural (OE) Procedimiento y plantilla</t>
  </si>
  <si>
    <t xml:space="preserve">Planeamiento Estratégico </t>
  </si>
  <si>
    <t>Organigrama Funcional (OF) Procedimiento y plantilla</t>
  </si>
  <si>
    <t>Organigrama Nominal (ON) Procedimiento y plantilla</t>
  </si>
  <si>
    <t xml:space="preserve">No se cuenta con una estructura que permita la creacción del sistema normalizado de Códigos.  </t>
  </si>
  <si>
    <t>Organigrama de código báse (OCB) Procedimeinto y plantilla</t>
  </si>
  <si>
    <t>GTH</t>
  </si>
  <si>
    <t>Se requiere validar / reromular el MOF de la Clínica a corde al plan estrategico institucional.</t>
  </si>
  <si>
    <t>Manual de Organización y Funciones (MOF)</t>
  </si>
  <si>
    <t>Se requiere validar / reromular el ROF de la Clínica a corde al plan estrategico institucional.</t>
  </si>
  <si>
    <t>Reglamento de Organización y Funciones (ROF)</t>
  </si>
  <si>
    <t>No se tien el documento matriz que recula las relaciones laborales.</t>
  </si>
  <si>
    <t>Reglamento Interno de Trabajo (RIT)</t>
  </si>
  <si>
    <t>No se cuenta con estándares de Misión, Visión, cultura de valores y politicas internas.</t>
  </si>
  <si>
    <t>Políticas de gobierno corporativo y ética empresarial.</t>
  </si>
  <si>
    <t>Se requiere determinar el nivel de relación laboral con trabajadores independientemente a su condición</t>
  </si>
  <si>
    <t>Contratos laborales y situación de trabajadores en planilla (personal administrativo, asistencial y otros).</t>
  </si>
  <si>
    <t>Se cuenta con una Guía completa que detalla la imagen de marca, incluyendo el logo, los colores, la tipografía entre otros.</t>
  </si>
  <si>
    <t>Manual de Imagen Corporativa</t>
  </si>
  <si>
    <t xml:space="preserve">No se cuenta documentación relacionada al registro y patente de marca "QARA" </t>
  </si>
  <si>
    <t>Registro y Patente de Marca.</t>
  </si>
  <si>
    <t>GRS</t>
  </si>
  <si>
    <t xml:space="preserve">Se cuenta con una Carta de reconocimiento de "Elección del Supervisor de SST". </t>
  </si>
  <si>
    <t>Implementar el procedimiento de Elección del Supervisor de SST y los formatos obligatorios según ley.</t>
  </si>
  <si>
    <t>Ley N°29783 de SST
D.S. de la LSST</t>
  </si>
  <si>
    <t xml:space="preserve">No se cuenta con un Reglamento Interno de Funciones del Comité / Supervisor de SST. </t>
  </si>
  <si>
    <t xml:space="preserve">Elaborar el RIF según Ley. </t>
  </si>
  <si>
    <t xml:space="preserve">Se evidencia registros obligatorios de SST que no corresponde a lo dispuesto por Ley. </t>
  </si>
  <si>
    <t xml:space="preserve">Implementar el Sistema de Gestión de SST acorde al tamaño de la empresa. Clínica QARA y unidades de negocio relacionados. </t>
  </si>
  <si>
    <t>No se evidencia las actividades de inspección y reuniones mensuales del Comité / Supervisión de SST.</t>
  </si>
  <si>
    <t>Implementra los procedimientos de Inspección y Reunión mesnual del Supervisores de SST.</t>
  </si>
  <si>
    <t>No se cuenta con un sistema de Gestión del Talento Humano (GTH) Solo se evidencia fordel con CV.</t>
  </si>
  <si>
    <t>lmplementar el Sistema de GTH. Procedimiento de Administración de Legajos personal.</t>
  </si>
  <si>
    <t>Ley de Productividad y Competitividad Laboral
D.S. Nº003-97-TR</t>
  </si>
  <si>
    <t>No se cuenta con un sistema de Gestión del Talento Humano (GTH)</t>
  </si>
  <si>
    <t xml:space="preserve">Procedimiento de Reclutamiento, evaluación y selección de personal. </t>
  </si>
  <si>
    <t>Procedimiento de Incorporación y evaluación del desempeño laboral.</t>
  </si>
  <si>
    <t>Procedimiento de Retención y Desvinculación laboral.</t>
  </si>
  <si>
    <t>Procedimiento de Remuneración y Escala Salarial.</t>
  </si>
  <si>
    <t>GMA</t>
  </si>
  <si>
    <t>No se cuenta implementado el Sistema de Gestión y Manejo de Residuos Sólidos Hospitalarios.</t>
  </si>
  <si>
    <t>Plan de Gestión de Residuos Sólidos</t>
  </si>
  <si>
    <t xml:space="preserve"> NTS N°144-MINSA/2018/DIGESA
GM-RS en EE.SS.y SMA</t>
  </si>
  <si>
    <t>Sistema de Gestión Ambiental – Exp. Sermin / manifiestos</t>
  </si>
  <si>
    <t xml:space="preserve">No se cuenta con el estudio de Caracterización de RSH, layout de recorrido y acopio temporal. </t>
  </si>
  <si>
    <t xml:space="preserve">Implementar estandar de acuerdo al requerimeinto de la NTS. </t>
  </si>
  <si>
    <t>GSA</t>
  </si>
  <si>
    <t xml:space="preserve">No se cuenta con el Sistema de Gestión de Saneamiento Ambiental (GSA). Se encontró un PR de limpieza y desinfeccion. </t>
  </si>
  <si>
    <t>Implementar estandar de acuerdo al requerimeinto de la R.M.</t>
  </si>
  <si>
    <t>R.M. N°449-2001-SA-DM. Norma sanitaria para trabajos de D-D-D-LR-TE.</t>
  </si>
  <si>
    <t xml:space="preserve">No se cuenta con un Ssitema de GSA. Se encontró un PR de limpieza y desinfeccion. </t>
  </si>
  <si>
    <t>Implementar los Registros de control de insumos, procedimientos y estandares (MSDS, HTP, etc.)</t>
  </si>
  <si>
    <t>GSS</t>
  </si>
  <si>
    <t>No se cuenta con un Sistema de Gestión de Salud (Servicios Asistenciales) como IPRESS.</t>
  </si>
  <si>
    <t>Validar las Guías de prácticas clínicas de Dermatología.</t>
  </si>
  <si>
    <t>PR Calidad de la atención. NTS N°139-MINSA/2018/DGAIN y Gestión de la H.C.</t>
  </si>
  <si>
    <t>Validar las Guías de Procedimientos en Salud de Dermatología.</t>
  </si>
  <si>
    <t>No se evidencia el PR de atención de consultas y reclamos, asi como no se tienen el comité respectivo.</t>
  </si>
  <si>
    <t>Libro de Reclamaciones en Salud</t>
  </si>
  <si>
    <t>D.S. N°002-2019-SA. PR de atención de consultas y reclamos</t>
  </si>
  <si>
    <t>No se evidencia el monitoreo y control del procedimiento de Bioseguridad y gestión de IAAS.</t>
  </si>
  <si>
    <t>Manual de Bioseguridad</t>
  </si>
  <si>
    <t>R.M. N°372-2011/MINSA. Guía técnica de PR Limpieza y Desinfección de Ambientes</t>
  </si>
  <si>
    <t>Se requiere actualizar el sistema de Gestión de Equipos biomedicos</t>
  </si>
  <si>
    <t>Expediente del SG – Equipos Biomédicos. Inventario de Bienes y Equipos Ficha técnica, Certificado de Operatividad, calidad.</t>
  </si>
  <si>
    <t>D.L. N°1155 y D.S. N°004-2015-SA. Obligación de la Gestión del equipamiento médico.</t>
  </si>
  <si>
    <t>Plan de Mantenimiento Preventivo para Equipos Biomédicos y Relacionados.</t>
  </si>
  <si>
    <t xml:space="preserve">Se cuenta con expediente viables de Categorización de la IPRESS. </t>
  </si>
  <si>
    <t>Resolución Directoral de Categorización I-3.</t>
  </si>
  <si>
    <t>D.S. N°013-2006-SA. Categorización de IPRESS</t>
  </si>
  <si>
    <t xml:space="preserve">Se requiere actualizar y validar el expediente de ITSE, que corresponde al Ssitema de Gestión del Riesgo de Desastres. </t>
  </si>
  <si>
    <t xml:space="preserve">Plan de Contingencias </t>
  </si>
  <si>
    <t xml:space="preserve"> R.M. N°188-2015-PCM. Formulación y Aprobación de Planes de Contingencia</t>
  </si>
  <si>
    <t>GDR-Planos de la Clínica (2018)</t>
  </si>
  <si>
    <t xml:space="preserve"> D.S. N°002-2018-PCM Inspecciones Técnicas de Seguridad en Edificaciones</t>
  </si>
  <si>
    <t xml:space="preserve">No se cuenta con el Comité de SDC y evidencia de inspección mensual de las edificaciones. </t>
  </si>
  <si>
    <t xml:space="preserve">Implementar el Comité de SDC e Implementar los registros y evidencias de inspección mensual. </t>
  </si>
  <si>
    <t>No se cuenta conformado las Brigadas de Seguridad ni la evidencia de su Capacitación</t>
  </si>
  <si>
    <t xml:space="preserve">Conformar las Brigadas y gestionar la capacitacion de los 4 temas obligatorios. </t>
  </si>
  <si>
    <t>No se cuenta con un PR de Homologación de Proveedores. Orden de compra / servicio.</t>
  </si>
  <si>
    <t>Contrato Privado de Servicios</t>
  </si>
  <si>
    <t>Convenios de prestación de servicios de ayuda diagnóstico.</t>
  </si>
  <si>
    <t>No se cuenta con un sistema de gestión de Control Documentario</t>
  </si>
  <si>
    <t>Documentos de Control Adm. / Memorandum</t>
  </si>
  <si>
    <t xml:space="preserve">Luz Carrión </t>
  </si>
  <si>
    <t>DIN</t>
  </si>
  <si>
    <t xml:space="preserve">No se cuenta con los DF del ATH. </t>
  </si>
  <si>
    <t xml:space="preserve">Elaborar el DF del ATH. </t>
  </si>
  <si>
    <t xml:space="preserve">RG del jefe del área. </t>
  </si>
  <si>
    <t>MTPE</t>
  </si>
  <si>
    <t xml:space="preserve">DF de cinco sub-procesos de ATH.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</si>
</sst>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C0A]d\-mmm\-yy;@"/>
    <numFmt numFmtId="165" formatCode="0.0%"/>
    <numFmt numFmtId="166" formatCode="#,##0_ ;\-#,##0\ "/>
    <numFmt numFmtId="167" formatCode="ddd\,d\-mmm\-yy"/>
  </numFmts>
  <fonts count="89" x14ac:knownFonts="1">
    <font>
      <sz val="11"/>
      <color theme="1"/>
      <name val="Calibri"/>
      <family val="2"/>
      <scheme val="minor"/>
    </font>
    <font>
      <sz val="11"/>
      <color theme="1"/>
      <name val="Calibri"/>
      <family val="2"/>
      <scheme val="minor"/>
    </font>
    <font>
      <b/>
      <sz val="10"/>
      <name val="Arial"/>
      <family val="2"/>
    </font>
    <font>
      <sz val="8"/>
      <name val="Arial"/>
      <family val="2"/>
    </font>
    <font>
      <sz val="10"/>
      <name val="Arial"/>
      <family val="2"/>
    </font>
    <font>
      <sz val="10"/>
      <color theme="1"/>
      <name val="Calibri"/>
      <family val="2"/>
      <scheme val="minor"/>
    </font>
    <font>
      <sz val="12"/>
      <name val="Arial"/>
      <family val="2"/>
    </font>
    <font>
      <b/>
      <sz val="12"/>
      <name val="Arial"/>
      <family val="2"/>
    </font>
    <font>
      <b/>
      <sz val="11"/>
      <color theme="0"/>
      <name val="Arial"/>
      <family val="2"/>
    </font>
    <font>
      <b/>
      <sz val="12"/>
      <color theme="1"/>
      <name val="Calibri"/>
      <family val="2"/>
      <scheme val="minor"/>
    </font>
    <font>
      <sz val="10"/>
      <name val="Tahoma"/>
      <family val="2"/>
    </font>
    <font>
      <b/>
      <sz val="12"/>
      <name val="BatangChe"/>
      <family val="3"/>
      <charset val="129"/>
    </font>
    <font>
      <b/>
      <sz val="12"/>
      <color rgb="FFFFFF00"/>
      <name val="Tahoma"/>
      <family val="2"/>
    </font>
    <font>
      <b/>
      <sz val="10"/>
      <color theme="0"/>
      <name val="Arial"/>
      <family val="2"/>
    </font>
    <font>
      <sz val="12"/>
      <color theme="1"/>
      <name val="Calibri"/>
      <family val="2"/>
      <scheme val="minor"/>
    </font>
    <font>
      <sz val="11"/>
      <color theme="0"/>
      <name val="Calibri"/>
      <family val="2"/>
      <scheme val="minor"/>
    </font>
    <font>
      <b/>
      <sz val="12"/>
      <color rgb="FFFF0000"/>
      <name val="Arial"/>
      <family val="2"/>
    </font>
    <font>
      <b/>
      <sz val="12"/>
      <color theme="0"/>
      <name val="Arial"/>
      <family val="2"/>
    </font>
    <font>
      <b/>
      <sz val="12"/>
      <color rgb="FFFF0000"/>
      <name val="Calibri"/>
      <family val="2"/>
      <scheme val="minor"/>
    </font>
    <font>
      <b/>
      <sz val="12"/>
      <color rgb="FFFFFF00"/>
      <name val="Arial"/>
      <family val="2"/>
    </font>
    <font>
      <b/>
      <sz val="24"/>
      <color theme="0"/>
      <name val="Arial"/>
      <family val="2"/>
    </font>
    <font>
      <sz val="8"/>
      <name val="Calibri"/>
      <family val="2"/>
      <scheme val="minor"/>
    </font>
    <font>
      <b/>
      <sz val="18"/>
      <color rgb="FFFFC000"/>
      <name val="Arial"/>
      <family val="2"/>
    </font>
    <font>
      <u/>
      <sz val="11"/>
      <color indexed="12"/>
      <name val="Arial"/>
      <family val="2"/>
    </font>
    <font>
      <sz val="14"/>
      <color theme="1"/>
      <name val="Calibri"/>
      <family val="2"/>
      <scheme val="minor"/>
    </font>
    <font>
      <b/>
      <sz val="22"/>
      <color theme="1" tint="0.34998626667073579"/>
      <name val="Cambria"/>
      <family val="2"/>
      <scheme val="major"/>
    </font>
    <font>
      <sz val="11"/>
      <color rgb="FFFF0000"/>
      <name val="Tahoma"/>
      <family val="2"/>
    </font>
    <font>
      <b/>
      <sz val="14"/>
      <color rgb="FF66FFCC"/>
      <name val="Calibri"/>
      <family val="2"/>
      <scheme val="minor"/>
    </font>
    <font>
      <b/>
      <sz val="12"/>
      <color rgb="FF66FFCC"/>
      <name val="Arial"/>
      <family val="2"/>
    </font>
    <font>
      <b/>
      <sz val="12"/>
      <color rgb="FFFF0000"/>
      <name val="Gilroy"/>
      <family val="3"/>
    </font>
    <font>
      <u/>
      <sz val="11"/>
      <color theme="10"/>
      <name val="Calibri"/>
      <family val="2"/>
      <scheme val="minor"/>
    </font>
    <font>
      <b/>
      <sz val="11"/>
      <color theme="1"/>
      <name val="Calibri"/>
      <family val="2"/>
      <scheme val="minor"/>
    </font>
    <font>
      <b/>
      <sz val="10"/>
      <color theme="1"/>
      <name val="Calibri"/>
      <family val="2"/>
      <scheme val="minor"/>
    </font>
    <font>
      <sz val="11"/>
      <name val="Arial"/>
      <family val="2"/>
    </font>
    <font>
      <sz val="14"/>
      <color rgb="FF000000"/>
      <name val="Calibri"/>
      <family val="2"/>
    </font>
    <font>
      <b/>
      <sz val="11"/>
      <name val="Arial"/>
      <family val="2"/>
    </font>
    <font>
      <b/>
      <sz val="11"/>
      <color rgb="FFFFC000"/>
      <name val="Arial"/>
      <family val="2"/>
    </font>
    <font>
      <b/>
      <sz val="12"/>
      <color rgb="FFFFC000"/>
      <name val="Arial"/>
      <family val="2"/>
    </font>
    <font>
      <b/>
      <sz val="11"/>
      <name val="BatangChe"/>
      <family val="3"/>
      <charset val="129"/>
    </font>
    <font>
      <b/>
      <sz val="14"/>
      <color rgb="FFFFC000"/>
      <name val="Arial"/>
      <family val="2"/>
    </font>
    <font>
      <b/>
      <sz val="14"/>
      <color rgb="FF66FFCC"/>
      <name val="Arial"/>
      <family val="2"/>
    </font>
    <font>
      <b/>
      <sz val="12"/>
      <color rgb="FF002060"/>
      <name val="Calibri"/>
      <family val="2"/>
      <scheme val="minor"/>
    </font>
    <font>
      <sz val="12"/>
      <color rgb="FF002060"/>
      <name val="Calibri"/>
      <family val="2"/>
      <scheme val="minor"/>
    </font>
    <font>
      <b/>
      <sz val="12"/>
      <color rgb="FF002060"/>
      <name val="Arial"/>
      <family val="2"/>
    </font>
    <font>
      <sz val="11"/>
      <color rgb="FF002060"/>
      <name val="Calibri"/>
      <family val="2"/>
      <scheme val="minor"/>
    </font>
    <font>
      <sz val="10"/>
      <color rgb="FF002060"/>
      <name val="Arial"/>
      <family val="2"/>
    </font>
    <font>
      <sz val="12"/>
      <color rgb="FF002060"/>
      <name val="Arial"/>
      <family val="2"/>
    </font>
    <font>
      <sz val="10"/>
      <name val="Arial"/>
      <family val="2"/>
    </font>
    <font>
      <b/>
      <sz val="11"/>
      <name val="Arial"/>
      <family val="2"/>
    </font>
    <font>
      <b/>
      <sz val="12"/>
      <color rgb="FFFF0000"/>
      <name val="Arial"/>
      <family val="2"/>
    </font>
    <font>
      <sz val="12"/>
      <color rgb="FF002060"/>
      <name val="Arial"/>
      <family val="2"/>
    </font>
    <font>
      <sz val="10"/>
      <name val="Arial"/>
      <family val="2"/>
    </font>
    <font>
      <b/>
      <sz val="11"/>
      <name val="Arial"/>
      <family val="2"/>
    </font>
    <font>
      <b/>
      <sz val="12"/>
      <color rgb="FFFF0000"/>
      <name val="Arial"/>
      <family val="2"/>
    </font>
    <font>
      <sz val="12"/>
      <color rgb="FF002060"/>
      <name val="Arial"/>
      <family val="2"/>
    </font>
    <font>
      <b/>
      <sz val="10"/>
      <color rgb="FFFF0000"/>
      <name val="Gilroy"/>
      <family val="3"/>
    </font>
    <font>
      <b/>
      <sz val="10"/>
      <color rgb="FFFF0000"/>
      <name val="Arial"/>
      <family val="2"/>
    </font>
    <font>
      <b/>
      <sz val="11"/>
      <color rgb="FFFFC000"/>
      <name val="Tahoma"/>
      <family val="2"/>
    </font>
    <font>
      <b/>
      <sz val="12"/>
      <color rgb="FFFFFF00"/>
      <name val="Calibri"/>
      <family val="2"/>
      <scheme val="minor"/>
    </font>
    <font>
      <b/>
      <sz val="10"/>
      <color rgb="FF2A2A2A"/>
      <name val="Segoe UI"/>
      <family val="2"/>
    </font>
    <font>
      <sz val="11"/>
      <color theme="1"/>
      <name val="IBM Plex Sans"/>
      <family val="2"/>
    </font>
    <font>
      <sz val="10"/>
      <name val="Arial"/>
      <family val="2"/>
    </font>
    <font>
      <sz val="11"/>
      <name val="Arial"/>
      <family val="2"/>
    </font>
    <font>
      <b/>
      <sz val="11"/>
      <name val="Arial"/>
      <family val="2"/>
    </font>
    <font>
      <b/>
      <sz val="12"/>
      <name val="Arial"/>
      <family val="2"/>
    </font>
    <font>
      <b/>
      <sz val="12"/>
      <color rgb="FFFF0000"/>
      <name val="Arial"/>
      <family val="2"/>
    </font>
    <font>
      <sz val="12"/>
      <color rgb="FF002060"/>
      <name val="Arial"/>
      <family val="2"/>
    </font>
    <font>
      <b/>
      <sz val="10"/>
      <color rgb="FF2A2A2A"/>
      <name val="Segoe UI"/>
      <family val="2"/>
    </font>
    <font>
      <sz val="10"/>
      <name val="Arial"/>
      <family val="2"/>
    </font>
    <font>
      <b/>
      <sz val="10"/>
      <color rgb="FF2A2A2A"/>
      <name val="Segoe UI"/>
      <family val="2"/>
    </font>
    <font>
      <sz val="11"/>
      <name val="Arial"/>
      <family val="2"/>
    </font>
    <font>
      <b/>
      <sz val="11"/>
      <name val="Arial"/>
      <family val="2"/>
    </font>
    <font>
      <b/>
      <sz val="12"/>
      <name val="Arial"/>
      <family val="2"/>
    </font>
    <font>
      <b/>
      <sz val="12"/>
      <color rgb="FFFF0000"/>
      <name val="Arial"/>
      <family val="2"/>
    </font>
    <font>
      <sz val="12"/>
      <color rgb="FF002060"/>
      <name val="Arial"/>
      <family val="2"/>
    </font>
    <font>
      <sz val="10"/>
      <name val="Arial"/>
      <family val="2"/>
    </font>
    <font>
      <sz val="11"/>
      <name val="Arial"/>
      <family val="2"/>
    </font>
    <font>
      <b/>
      <sz val="11"/>
      <name val="Arial"/>
      <family val="2"/>
    </font>
    <font>
      <b/>
      <sz val="12"/>
      <name val="Arial"/>
      <family val="2"/>
    </font>
    <font>
      <b/>
      <sz val="12"/>
      <color rgb="FFFF0000"/>
      <name val="Arial"/>
      <family val="2"/>
    </font>
    <font>
      <sz val="12"/>
      <color rgb="FF002060"/>
      <name val="Arial"/>
      <family val="2"/>
    </font>
    <font>
      <b/>
      <sz val="10"/>
      <color rgb="FFFFC000"/>
      <name val="Tahoma"/>
      <family val="2"/>
    </font>
    <font>
      <b/>
      <sz val="10"/>
      <color rgb="FFFFFF00"/>
      <name val="Tahoma"/>
      <family val="2"/>
    </font>
    <font>
      <b/>
      <sz val="10"/>
      <color rgb="FFFF0000"/>
      <name val="Calibri"/>
      <family val="2"/>
      <scheme val="minor"/>
    </font>
    <font>
      <b/>
      <sz val="11"/>
      <color theme="1"/>
      <name val="Arial"/>
      <family val="2"/>
    </font>
    <font>
      <b/>
      <sz val="9"/>
      <name val="Arial"/>
      <family val="2"/>
    </font>
    <font>
      <sz val="10"/>
      <color theme="1"/>
      <name val="Arial"/>
      <family val="2"/>
    </font>
    <font>
      <b/>
      <sz val="9"/>
      <color theme="0"/>
      <name val="Arial"/>
      <family val="2"/>
    </font>
    <font>
      <sz val="9"/>
      <color theme="0"/>
      <name val="Calibri"/>
      <family val="2"/>
      <scheme val="minor"/>
    </font>
  </fonts>
  <fills count="10">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2"/>
        <bgColor indexed="64"/>
      </patternFill>
    </fill>
    <fill>
      <patternFill patternType="solid">
        <fgColor rgb="FFFFC000"/>
        <bgColor indexed="64"/>
      </patternFill>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rgb="FF002060"/>
        <bgColor indexed="64"/>
      </patternFill>
    </fill>
    <fill>
      <patternFill patternType="solid">
        <fgColor rgb="FF0070C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rgb="FF66FFCC"/>
      </left>
      <right/>
      <top style="thin">
        <color indexed="64"/>
      </top>
      <bottom/>
      <diagonal/>
    </border>
    <border>
      <left style="thin">
        <color rgb="FF66FFCC"/>
      </left>
      <right/>
      <top/>
      <bottom/>
      <diagonal/>
    </border>
    <border>
      <left style="thin">
        <color rgb="FF66FFCC"/>
      </left>
      <right style="thin">
        <color rgb="FF66FFCC"/>
      </right>
      <top style="thin">
        <color rgb="FF66FFCC"/>
      </top>
      <bottom style="thin">
        <color rgb="FF66FFCC"/>
      </bottom>
      <diagonal/>
    </border>
    <border>
      <left style="thin">
        <color rgb="FF66FFCC"/>
      </left>
      <right style="thin">
        <color rgb="FF66FFCC"/>
      </right>
      <top/>
      <bottom style="thin">
        <color rgb="FF66FFCC"/>
      </bottom>
      <diagonal/>
    </border>
    <border>
      <left style="thin">
        <color rgb="FF66FFCC"/>
      </left>
      <right style="thin">
        <color rgb="FF66FFCC"/>
      </right>
      <top style="thin">
        <color rgb="FFFFFF00"/>
      </top>
      <bottom style="thin">
        <color rgb="FF66FFCC"/>
      </bottom>
      <diagonal/>
    </border>
    <border>
      <left style="thin">
        <color rgb="FF66FFCC"/>
      </left>
      <right style="thin">
        <color rgb="FF66FFCC"/>
      </right>
      <top style="thin">
        <color rgb="FF66FFCC"/>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66FFCC"/>
      </left>
      <right style="thin">
        <color rgb="FF66FFCC"/>
      </right>
      <top style="thin">
        <color rgb="FF66FFCC"/>
      </top>
      <bottom/>
      <diagonal/>
    </border>
    <border>
      <left style="thin">
        <color rgb="FF66FFCC"/>
      </left>
      <right/>
      <top style="thin">
        <color rgb="FF66FFCC"/>
      </top>
      <bottom/>
      <diagonal/>
    </border>
    <border>
      <left/>
      <right style="thin">
        <color rgb="FF66FFCC"/>
      </right>
      <top style="thin">
        <color rgb="FF66FFCC"/>
      </top>
      <bottom/>
      <diagonal/>
    </border>
    <border>
      <left/>
      <right style="thin">
        <color indexed="64"/>
      </right>
      <top style="thin">
        <color indexed="64"/>
      </top>
      <bottom/>
      <diagonal/>
    </border>
    <border>
      <left style="thin">
        <color theme="0"/>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top/>
      <bottom style="thin">
        <color indexed="64"/>
      </bottom>
      <diagonal/>
    </border>
    <border>
      <left/>
      <right style="thin">
        <color rgb="FF66FFCC"/>
      </right>
      <top style="thin">
        <color rgb="FF66FFCC"/>
      </top>
      <bottom style="thin">
        <color rgb="FF66FFCC"/>
      </bottom>
      <diagonal/>
    </border>
    <border>
      <left/>
      <right style="thin">
        <color rgb="FF66FFCC"/>
      </right>
      <top/>
      <bottom style="thin">
        <color indexed="64"/>
      </bottom>
      <diagonal/>
    </border>
    <border>
      <left style="thin">
        <color rgb="FF66FFCC"/>
      </left>
      <right/>
      <top/>
      <bottom style="thin">
        <color indexed="64"/>
      </bottom>
      <diagonal/>
    </border>
    <border>
      <left style="thin">
        <color theme="4"/>
      </left>
      <right style="thin">
        <color theme="4"/>
      </right>
      <top style="thin">
        <color theme="4"/>
      </top>
      <bottom style="thin">
        <color theme="4"/>
      </bottom>
      <diagonal/>
    </border>
  </borders>
  <cellStyleXfs count="12">
    <xf numFmtId="0" fontId="0" fillId="0" borderId="0"/>
    <xf numFmtId="9" fontId="1" fillId="0" borderId="0" applyFont="0" applyFill="0" applyBorder="0" applyAlignment="0" applyProtection="0"/>
    <xf numFmtId="0" fontId="4" fillId="0" borderId="0"/>
    <xf numFmtId="0" fontId="15" fillId="0" borderId="0"/>
    <xf numFmtId="0" fontId="23" fillId="0" borderId="0" applyNumberFormat="0" applyFill="0" applyBorder="0" applyAlignment="0" applyProtection="0">
      <alignment vertical="top"/>
      <protection locked="0"/>
    </xf>
    <xf numFmtId="166" fontId="1" fillId="0" borderId="0" applyFont="0" applyFill="0" applyBorder="0" applyProtection="0">
      <alignment horizontal="center" vertical="center"/>
    </xf>
    <xf numFmtId="14" fontId="1" fillId="0" borderId="0" applyFont="0" applyFill="0" applyBorder="0">
      <alignment horizontal="center" vertical="center"/>
    </xf>
    <xf numFmtId="9" fontId="1" fillId="0" borderId="0" applyFont="0" applyFill="0" applyBorder="0" applyProtection="0">
      <alignment horizontal="center" vertical="center"/>
    </xf>
    <xf numFmtId="0" fontId="1" fillId="0" borderId="0" applyNumberFormat="0" applyFill="0" applyProtection="0">
      <alignment horizontal="right" vertical="center" indent="1"/>
    </xf>
    <xf numFmtId="0" fontId="24" fillId="0" borderId="0" applyNumberFormat="0" applyFill="0" applyAlignment="0" applyProtection="0"/>
    <xf numFmtId="0" fontId="25" fillId="0" borderId="0" applyNumberFormat="0" applyFill="0" applyBorder="0" applyAlignment="0" applyProtection="0"/>
    <xf numFmtId="0" fontId="30" fillId="0" borderId="0" applyNumberFormat="0" applyFill="0" applyBorder="0" applyAlignment="0" applyProtection="0"/>
  </cellStyleXfs>
  <cellXfs count="209">
    <xf numFmtId="0" fontId="0" fillId="0" borderId="0" xfId="0"/>
    <xf numFmtId="0" fontId="0" fillId="0" borderId="0" xfId="0" applyAlignment="1">
      <alignment horizontal="left"/>
    </xf>
    <xf numFmtId="167" fontId="4" fillId="0" borderId="5" xfId="0" applyNumberFormat="1" applyFont="1" applyBorder="1" applyAlignment="1" applyProtection="1">
      <alignment horizontal="center" vertical="center" wrapText="1"/>
      <protection locked="0"/>
    </xf>
    <xf numFmtId="0" fontId="14" fillId="0" borderId="0" xfId="0" applyFont="1" applyAlignment="1">
      <alignment horizontal="center" vertical="top"/>
    </xf>
    <xf numFmtId="0" fontId="14" fillId="0" borderId="0" xfId="0" applyFont="1" applyAlignment="1">
      <alignment horizontal="center" vertical="center" wrapText="1"/>
    </xf>
    <xf numFmtId="0" fontId="2"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32" fillId="0" borderId="0" xfId="0" applyFont="1"/>
    <xf numFmtId="0" fontId="33" fillId="4" borderId="14" xfId="0" applyFont="1" applyFill="1" applyBorder="1" applyAlignment="1">
      <alignment horizontal="center" vertical="center" wrapText="1"/>
    </xf>
    <xf numFmtId="0" fontId="33" fillId="4" borderId="18" xfId="0" applyFont="1" applyFill="1" applyBorder="1" applyAlignment="1">
      <alignment horizontal="center" vertical="center" wrapText="1"/>
    </xf>
    <xf numFmtId="0" fontId="33" fillId="4" borderId="20" xfId="0" applyFont="1" applyFill="1" applyBorder="1" applyAlignment="1">
      <alignment horizontal="center" vertical="center" wrapText="1"/>
    </xf>
    <xf numFmtId="0" fontId="0" fillId="3" borderId="21" xfId="0" applyFill="1" applyBorder="1" applyAlignment="1">
      <alignment horizontal="left"/>
    </xf>
    <xf numFmtId="0" fontId="0" fillId="3" borderId="22" xfId="0" applyFill="1" applyBorder="1" applyAlignment="1">
      <alignment horizontal="left"/>
    </xf>
    <xf numFmtId="0" fontId="34" fillId="5" borderId="1" xfId="0" applyFont="1" applyFill="1" applyBorder="1" applyAlignment="1">
      <alignment horizontal="center" vertical="center" wrapText="1" readingOrder="1"/>
    </xf>
    <xf numFmtId="0" fontId="3" fillId="4" borderId="1" xfId="0" applyFont="1" applyFill="1" applyBorder="1" applyAlignment="1">
      <alignment horizontal="center" vertical="center" wrapText="1"/>
    </xf>
    <xf numFmtId="0" fontId="14" fillId="0" borderId="0" xfId="0" applyFont="1" applyAlignment="1">
      <alignment horizontal="left"/>
    </xf>
    <xf numFmtId="0" fontId="4"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167" fontId="4" fillId="0" borderId="0" xfId="0" applyNumberFormat="1" applyFont="1" applyAlignment="1" applyProtection="1">
      <alignment horizontal="center" vertical="center" wrapText="1"/>
      <protection locked="0"/>
    </xf>
    <xf numFmtId="167" fontId="33" fillId="0" borderId="0" xfId="0" applyNumberFormat="1" applyFont="1" applyAlignment="1" applyProtection="1">
      <alignment horizontal="center" vertical="center" wrapText="1"/>
      <protection locked="0"/>
    </xf>
    <xf numFmtId="0" fontId="35" fillId="0" borderId="1" xfId="0" applyFont="1" applyBorder="1" applyAlignment="1" applyProtection="1">
      <alignment horizontal="center" vertical="center" wrapText="1"/>
      <protection locked="0"/>
    </xf>
    <xf numFmtId="164" fontId="4" fillId="0" borderId="3" xfId="0" applyNumberFormat="1" applyFont="1" applyBorder="1" applyAlignment="1" applyProtection="1">
      <alignment horizontal="left" vertical="center" wrapText="1"/>
      <protection locked="0"/>
    </xf>
    <xf numFmtId="164" fontId="4" fillId="0" borderId="3" xfId="0" applyNumberFormat="1" applyFont="1" applyBorder="1" applyAlignment="1" applyProtection="1">
      <alignment horizontal="center" vertical="center" wrapText="1"/>
      <protection locked="0"/>
    </xf>
    <xf numFmtId="0" fontId="2" fillId="0" borderId="1" xfId="0" applyFont="1" applyBorder="1" applyAlignment="1" applyProtection="1">
      <alignment horizontal="center" vertical="center" wrapText="1"/>
      <protection locked="0"/>
    </xf>
    <xf numFmtId="0" fontId="4" fillId="0" borderId="1" xfId="0" applyFont="1" applyBorder="1" applyAlignment="1" applyProtection="1">
      <alignment horizontal="center" vertical="center" wrapText="1"/>
      <protection locked="0"/>
    </xf>
    <xf numFmtId="0" fontId="4" fillId="0" borderId="5" xfId="0" applyFont="1" applyBorder="1" applyAlignment="1" applyProtection="1">
      <alignment horizontal="center" vertical="center" wrapText="1"/>
      <protection locked="0"/>
    </xf>
    <xf numFmtId="0" fontId="38" fillId="0" borderId="1" xfId="0" applyFont="1" applyBorder="1" applyAlignment="1" applyProtection="1">
      <alignment horizontal="center" vertical="center" wrapText="1"/>
      <protection locked="0"/>
    </xf>
    <xf numFmtId="0" fontId="7" fillId="0" borderId="1" xfId="0" applyFont="1" applyBorder="1" applyAlignment="1" applyProtection="1">
      <alignment horizontal="center" vertical="center" wrapText="1"/>
      <protection locked="0"/>
    </xf>
    <xf numFmtId="0" fontId="6" fillId="0" borderId="1" xfId="0" applyFont="1" applyBorder="1" applyAlignment="1" applyProtection="1">
      <alignment horizontal="center" vertical="center" wrapText="1"/>
      <protection locked="0"/>
    </xf>
    <xf numFmtId="0" fontId="2" fillId="0" borderId="1" xfId="0" applyFont="1" applyBorder="1" applyAlignment="1" applyProtection="1">
      <alignment horizontal="left" vertical="center" wrapText="1"/>
      <protection locked="0"/>
    </xf>
    <xf numFmtId="164" fontId="7" fillId="0" borderId="4" xfId="0" applyNumberFormat="1" applyFont="1" applyBorder="1" applyAlignment="1" applyProtection="1">
      <alignment horizontal="center" vertical="center" wrapText="1"/>
      <protection locked="0"/>
    </xf>
    <xf numFmtId="164" fontId="16" fillId="0" borderId="5" xfId="0" applyNumberFormat="1" applyFont="1" applyBorder="1" applyAlignment="1" applyProtection="1">
      <alignment horizontal="center" vertical="center" wrapText="1"/>
      <protection locked="0"/>
    </xf>
    <xf numFmtId="0" fontId="45" fillId="0" borderId="2" xfId="0" applyFont="1" applyBorder="1" applyAlignment="1" applyProtection="1">
      <alignment horizontal="center" vertical="center" wrapText="1"/>
      <protection locked="0"/>
    </xf>
    <xf numFmtId="164" fontId="4" fillId="6" borderId="27" xfId="0" applyNumberFormat="1" applyFont="1" applyFill="1" applyBorder="1" applyAlignment="1" applyProtection="1">
      <alignment horizontal="left" vertical="center" wrapText="1"/>
      <protection locked="0"/>
    </xf>
    <xf numFmtId="164" fontId="4" fillId="6" borderId="27" xfId="0" applyNumberFormat="1" applyFont="1" applyFill="1" applyBorder="1" applyAlignment="1" applyProtection="1">
      <alignment horizontal="center" vertical="center" wrapText="1"/>
      <protection locked="0"/>
    </xf>
    <xf numFmtId="0" fontId="7" fillId="0" borderId="3" xfId="0" applyFont="1" applyBorder="1" applyAlignment="1" applyProtection="1">
      <alignment horizontal="center" vertical="center" wrapText="1"/>
      <protection locked="0"/>
    </xf>
    <xf numFmtId="0" fontId="7" fillId="0" borderId="13" xfId="0" applyFont="1" applyBorder="1" applyAlignment="1" applyProtection="1">
      <alignment horizontal="center" vertical="center" wrapText="1"/>
      <protection locked="0"/>
    </xf>
    <xf numFmtId="0" fontId="46" fillId="0" borderId="2" xfId="0" applyFont="1" applyBorder="1" applyAlignment="1" applyProtection="1">
      <alignment horizontal="center" vertical="center" wrapText="1"/>
      <protection locked="0"/>
    </xf>
    <xf numFmtId="164" fontId="30" fillId="0" borderId="4" xfId="11" applyNumberFormat="1" applyBorder="1" applyAlignment="1" applyProtection="1">
      <alignment horizontal="center" vertical="center" wrapText="1"/>
      <protection locked="0"/>
    </xf>
    <xf numFmtId="164" fontId="47" fillId="0" borderId="3" xfId="0" applyNumberFormat="1" applyFont="1" applyBorder="1" applyAlignment="1" applyProtection="1">
      <alignment horizontal="left" vertical="center" wrapText="1"/>
      <protection locked="0"/>
    </xf>
    <xf numFmtId="0" fontId="48" fillId="0" borderId="1" xfId="0" applyFont="1" applyBorder="1" applyAlignment="1" applyProtection="1">
      <alignment horizontal="center" vertical="center" wrapText="1"/>
      <protection locked="0"/>
    </xf>
    <xf numFmtId="164" fontId="49" fillId="0" borderId="2" xfId="0" applyNumberFormat="1" applyFont="1" applyBorder="1" applyAlignment="1" applyProtection="1">
      <alignment horizontal="center" vertical="center" wrapText="1"/>
      <protection locked="0"/>
    </xf>
    <xf numFmtId="0" fontId="50" fillId="0" borderId="2" xfId="0" applyFont="1" applyBorder="1" applyAlignment="1" applyProtection="1">
      <alignment horizontal="center" vertical="center" wrapText="1"/>
      <protection locked="0"/>
    </xf>
    <xf numFmtId="0" fontId="4" fillId="0" borderId="0" xfId="0" applyFont="1" applyAlignment="1" applyProtection="1">
      <alignment horizontal="center" vertical="center" wrapText="1"/>
      <protection locked="0"/>
    </xf>
    <xf numFmtId="164" fontId="16" fillId="0" borderId="2" xfId="0" applyNumberFormat="1" applyFont="1" applyBorder="1" applyAlignment="1" applyProtection="1">
      <alignment horizontal="center" vertical="center" wrapText="1"/>
      <protection locked="0"/>
    </xf>
    <xf numFmtId="164" fontId="30" fillId="0" borderId="2" xfId="11" applyNumberFormat="1" applyFill="1" applyBorder="1" applyAlignment="1" applyProtection="1">
      <alignment horizontal="center" vertical="center" wrapText="1"/>
      <protection locked="0"/>
    </xf>
    <xf numFmtId="164" fontId="51" fillId="0" borderId="3" xfId="0" applyNumberFormat="1" applyFont="1" applyBorder="1" applyAlignment="1" applyProtection="1">
      <alignment horizontal="left" vertical="center" wrapText="1"/>
      <protection locked="0"/>
    </xf>
    <xf numFmtId="0" fontId="52" fillId="0" borderId="1" xfId="0" applyFont="1" applyBorder="1" applyAlignment="1" applyProtection="1">
      <alignment horizontal="center" vertical="center" wrapText="1"/>
      <protection locked="0"/>
    </xf>
    <xf numFmtId="164" fontId="53" fillId="0" borderId="2" xfId="0" applyNumberFormat="1" applyFont="1" applyBorder="1" applyAlignment="1" applyProtection="1">
      <alignment horizontal="center" vertical="center" wrapText="1"/>
      <protection locked="0"/>
    </xf>
    <xf numFmtId="164" fontId="4" fillId="7" borderId="27" xfId="0" applyNumberFormat="1" applyFont="1" applyFill="1" applyBorder="1" applyAlignment="1" applyProtection="1">
      <alignment horizontal="left" vertical="center" wrapText="1"/>
      <protection locked="0"/>
    </xf>
    <xf numFmtId="0" fontId="54" fillId="0" borderId="2" xfId="0" applyFont="1" applyBorder="1" applyAlignment="1" applyProtection="1">
      <alignment horizontal="center" vertical="center" wrapText="1"/>
      <protection locked="0"/>
    </xf>
    <xf numFmtId="9" fontId="55" fillId="0" borderId="5" xfId="1" applyFont="1" applyFill="1" applyBorder="1" applyAlignment="1" applyProtection="1">
      <alignment horizontal="right" vertical="center" wrapText="1"/>
      <protection locked="0"/>
    </xf>
    <xf numFmtId="164" fontId="56" fillId="0" borderId="5" xfId="0" applyNumberFormat="1" applyFont="1" applyBorder="1" applyAlignment="1" applyProtection="1">
      <alignment horizontal="center" vertical="center" wrapText="1"/>
      <protection locked="0"/>
    </xf>
    <xf numFmtId="164" fontId="56" fillId="0" borderId="2" xfId="0" applyNumberFormat="1" applyFont="1" applyBorder="1" applyAlignment="1" applyProtection="1">
      <alignment horizontal="center" vertical="center" wrapText="1"/>
      <protection locked="0"/>
    </xf>
    <xf numFmtId="0" fontId="2" fillId="0" borderId="13" xfId="0" applyFont="1" applyBorder="1" applyAlignment="1" applyProtection="1">
      <alignment horizontal="center" vertical="center" wrapText="1"/>
      <protection locked="0"/>
    </xf>
    <xf numFmtId="164" fontId="4" fillId="0" borderId="0" xfId="0" applyNumberFormat="1" applyFont="1" applyAlignment="1" applyProtection="1">
      <alignment horizontal="left" vertical="center" wrapText="1"/>
      <protection locked="0"/>
    </xf>
    <xf numFmtId="164" fontId="4" fillId="0" borderId="0" xfId="0" applyNumberFormat="1" applyFont="1" applyAlignment="1" applyProtection="1">
      <alignment horizontal="center" vertical="center" wrapText="1"/>
      <protection locked="0"/>
    </xf>
    <xf numFmtId="0" fontId="33" fillId="0" borderId="0" xfId="0" applyFont="1" applyAlignment="1" applyProtection="1">
      <alignment horizontal="center" vertical="center" wrapText="1"/>
      <protection locked="0"/>
    </xf>
    <xf numFmtId="0" fontId="11" fillId="0" borderId="0" xfId="0" applyFont="1" applyAlignment="1" applyProtection="1">
      <alignment horizontal="center" vertical="center" wrapText="1"/>
      <protection locked="0"/>
    </xf>
    <xf numFmtId="0" fontId="7" fillId="0" borderId="0" xfId="0" applyFont="1" applyAlignment="1" applyProtection="1">
      <alignment horizontal="center" vertical="center" wrapText="1"/>
      <protection locked="0"/>
    </xf>
    <xf numFmtId="0" fontId="6" fillId="0" borderId="0" xfId="0" applyFont="1" applyAlignment="1" applyProtection="1">
      <alignment horizontal="center" vertical="center" wrapText="1"/>
      <protection locked="0"/>
    </xf>
    <xf numFmtId="164" fontId="16" fillId="0" borderId="0" xfId="0" applyNumberFormat="1" applyFont="1" applyAlignment="1" applyProtection="1">
      <alignment horizontal="center" vertical="center" wrapText="1"/>
      <protection locked="0"/>
    </xf>
    <xf numFmtId="164" fontId="43" fillId="0" borderId="0" xfId="0" applyNumberFormat="1" applyFont="1" applyAlignment="1" applyProtection="1">
      <alignment horizontal="center" vertical="center" wrapText="1"/>
      <protection locked="0"/>
    </xf>
    <xf numFmtId="164" fontId="7" fillId="0" borderId="0" xfId="0" applyNumberFormat="1" applyFont="1" applyAlignment="1" applyProtection="1">
      <alignment horizontal="center" vertical="center" wrapText="1"/>
      <protection locked="0"/>
    </xf>
    <xf numFmtId="0" fontId="0" fillId="2" borderId="0" xfId="0" applyFill="1" applyAlignment="1" applyProtection="1">
      <alignment horizontal="center" wrapText="1"/>
      <protection hidden="1"/>
    </xf>
    <xf numFmtId="0" fontId="31" fillId="2" borderId="0" xfId="0" applyFont="1" applyFill="1" applyAlignment="1" applyProtection="1">
      <alignment horizontal="center" vertical="center" wrapText="1"/>
      <protection hidden="1"/>
    </xf>
    <xf numFmtId="0" fontId="18" fillId="2" borderId="0" xfId="0" applyFont="1" applyFill="1" applyAlignment="1" applyProtection="1">
      <alignment horizontal="center" vertical="center" wrapText="1"/>
      <protection hidden="1"/>
    </xf>
    <xf numFmtId="0" fontId="9" fillId="2" borderId="0" xfId="0" applyFont="1" applyFill="1" applyAlignment="1" applyProtection="1">
      <alignment horizontal="center" vertical="center" wrapText="1"/>
      <protection hidden="1"/>
    </xf>
    <xf numFmtId="0" fontId="14" fillId="2" borderId="0" xfId="0" applyFont="1" applyFill="1" applyAlignment="1" applyProtection="1">
      <alignment horizontal="center" vertical="center" wrapText="1"/>
      <protection hidden="1"/>
    </xf>
    <xf numFmtId="0" fontId="42" fillId="2" borderId="0" xfId="0" applyFont="1" applyFill="1" applyAlignment="1" applyProtection="1">
      <alignment horizontal="center" vertical="center" wrapText="1"/>
      <protection hidden="1"/>
    </xf>
    <xf numFmtId="164" fontId="7" fillId="0" borderId="28" xfId="0" applyNumberFormat="1" applyFont="1" applyBorder="1" applyAlignment="1" applyProtection="1">
      <alignment horizontal="center" vertical="center" wrapText="1"/>
      <protection locked="0"/>
    </xf>
    <xf numFmtId="0" fontId="4" fillId="0" borderId="1" xfId="0" applyFont="1" applyBorder="1" applyAlignment="1">
      <alignment horizontal="center" vertical="center" wrapText="1"/>
    </xf>
    <xf numFmtId="9" fontId="29" fillId="0" borderId="5" xfId="1" applyFont="1" applyFill="1" applyBorder="1" applyAlignment="1">
      <alignment horizontal="right" vertical="center" wrapText="1"/>
    </xf>
    <xf numFmtId="164" fontId="61" fillId="0" borderId="3" xfId="0" applyNumberFormat="1" applyFont="1" applyBorder="1" applyAlignment="1" applyProtection="1">
      <alignment horizontal="left" vertical="center" wrapText="1"/>
      <protection locked="0"/>
    </xf>
    <xf numFmtId="164" fontId="61" fillId="0" borderId="13" xfId="0" applyNumberFormat="1" applyFont="1" applyBorder="1" applyAlignment="1" applyProtection="1">
      <alignment horizontal="center" vertical="center" wrapText="1"/>
      <protection locked="0"/>
    </xf>
    <xf numFmtId="0" fontId="61" fillId="0" borderId="1" xfId="0" applyFont="1" applyBorder="1" applyAlignment="1" applyProtection="1">
      <alignment horizontal="center" vertical="center" wrapText="1"/>
      <protection locked="0"/>
    </xf>
    <xf numFmtId="167" fontId="62" fillId="0" borderId="1" xfId="0" applyNumberFormat="1" applyFont="1" applyBorder="1" applyAlignment="1" applyProtection="1">
      <alignment horizontal="center" vertical="center" wrapText="1"/>
      <protection locked="0"/>
    </xf>
    <xf numFmtId="0" fontId="63" fillId="0" borderId="2" xfId="0" applyFont="1" applyBorder="1" applyAlignment="1" applyProtection="1">
      <alignment horizontal="center" vertical="center" wrapText="1"/>
      <protection locked="0"/>
    </xf>
    <xf numFmtId="0" fontId="64" fillId="0" borderId="13" xfId="0" applyFont="1" applyBorder="1" applyAlignment="1" applyProtection="1">
      <alignment horizontal="center" vertical="center" wrapText="1"/>
      <protection locked="0"/>
    </xf>
    <xf numFmtId="164" fontId="65" fillId="0" borderId="2" xfId="0" applyNumberFormat="1" applyFont="1" applyBorder="1" applyAlignment="1" applyProtection="1">
      <alignment horizontal="center" vertical="center" wrapText="1"/>
      <protection locked="0"/>
    </xf>
    <xf numFmtId="0" fontId="66" fillId="0" borderId="2" xfId="0" applyFont="1" applyBorder="1" applyAlignment="1" applyProtection="1">
      <alignment horizontal="center" vertical="center" wrapText="1"/>
      <protection locked="0"/>
    </xf>
    <xf numFmtId="164" fontId="4" fillId="0" borderId="13" xfId="0" applyNumberFormat="1" applyFont="1" applyBorder="1" applyAlignment="1" applyProtection="1">
      <alignment horizontal="center" vertical="center" wrapText="1"/>
      <protection locked="0"/>
    </xf>
    <xf numFmtId="167" fontId="33" fillId="0" borderId="1" xfId="0" applyNumberFormat="1" applyFont="1" applyBorder="1" applyAlignment="1" applyProtection="1">
      <alignment horizontal="center" vertical="center" wrapText="1"/>
      <protection locked="0"/>
    </xf>
    <xf numFmtId="0" fontId="35" fillId="0" borderId="2" xfId="0" applyFont="1" applyBorder="1" applyAlignment="1" applyProtection="1">
      <alignment horizontal="center" vertical="center" wrapText="1"/>
      <protection locked="0"/>
    </xf>
    <xf numFmtId="164" fontId="30" fillId="0" borderId="2" xfId="11" applyNumberFormat="1" applyBorder="1" applyAlignment="1" applyProtection="1">
      <alignment horizontal="center" vertical="center" wrapText="1"/>
      <protection locked="0"/>
    </xf>
    <xf numFmtId="164" fontId="68" fillId="0" borderId="3" xfId="0" applyNumberFormat="1" applyFont="1" applyBorder="1" applyAlignment="1" applyProtection="1">
      <alignment horizontal="left" vertical="center" wrapText="1"/>
      <protection locked="0"/>
    </xf>
    <xf numFmtId="164" fontId="68" fillId="0" borderId="13" xfId="0" applyNumberFormat="1" applyFont="1" applyBorder="1" applyAlignment="1" applyProtection="1">
      <alignment horizontal="center" vertical="center" wrapText="1"/>
      <protection locked="0"/>
    </xf>
    <xf numFmtId="167" fontId="70" fillId="0" borderId="1" xfId="0" applyNumberFormat="1" applyFont="1" applyBorder="1" applyAlignment="1" applyProtection="1">
      <alignment horizontal="center" vertical="center" wrapText="1"/>
      <protection locked="0"/>
    </xf>
    <xf numFmtId="0" fontId="71" fillId="0" borderId="2" xfId="0" applyFont="1" applyBorder="1" applyAlignment="1" applyProtection="1">
      <alignment horizontal="center" vertical="center" wrapText="1"/>
      <protection locked="0"/>
    </xf>
    <xf numFmtId="0" fontId="72" fillId="0" borderId="13" xfId="0" applyFont="1" applyBorder="1" applyAlignment="1" applyProtection="1">
      <alignment horizontal="center" vertical="center" wrapText="1"/>
      <protection locked="0"/>
    </xf>
    <xf numFmtId="164" fontId="73" fillId="0" borderId="2" xfId="0" applyNumberFormat="1" applyFont="1" applyBorder="1" applyAlignment="1" applyProtection="1">
      <alignment horizontal="center" vertical="center" wrapText="1"/>
      <protection locked="0"/>
    </xf>
    <xf numFmtId="0" fontId="74" fillId="0" borderId="2" xfId="0" applyFont="1" applyBorder="1" applyAlignment="1" applyProtection="1">
      <alignment horizontal="center" vertical="center" wrapText="1"/>
      <protection locked="0"/>
    </xf>
    <xf numFmtId="164" fontId="16" fillId="0" borderId="2" xfId="0" quotePrefix="1" applyNumberFormat="1" applyFont="1" applyBorder="1" applyAlignment="1" applyProtection="1">
      <alignment horizontal="center" vertical="center" wrapText="1"/>
      <protection locked="0"/>
    </xf>
    <xf numFmtId="164" fontId="30" fillId="0" borderId="2" xfId="11" quotePrefix="1" applyNumberFormat="1" applyBorder="1" applyAlignment="1" applyProtection="1">
      <alignment horizontal="center" vertical="center" wrapText="1"/>
      <protection locked="0"/>
    </xf>
    <xf numFmtId="0" fontId="75" fillId="0" borderId="1" xfId="0" applyFont="1" applyBorder="1" applyAlignment="1" applyProtection="1">
      <alignment horizontal="center" vertical="center" wrapText="1"/>
      <protection locked="0"/>
    </xf>
    <xf numFmtId="167" fontId="76" fillId="0" borderId="1" xfId="0" applyNumberFormat="1" applyFont="1" applyBorder="1" applyAlignment="1" applyProtection="1">
      <alignment horizontal="center" vertical="center" wrapText="1"/>
      <protection locked="0"/>
    </xf>
    <xf numFmtId="0" fontId="77" fillId="0" borderId="2" xfId="0" applyFont="1" applyBorder="1" applyAlignment="1" applyProtection="1">
      <alignment horizontal="center" vertical="center" wrapText="1"/>
      <protection locked="0"/>
    </xf>
    <xf numFmtId="0" fontId="78" fillId="0" borderId="13" xfId="0" applyFont="1" applyBorder="1" applyAlignment="1" applyProtection="1">
      <alignment horizontal="center" vertical="center" wrapText="1"/>
      <protection locked="0"/>
    </xf>
    <xf numFmtId="164" fontId="79" fillId="0" borderId="2" xfId="0" applyNumberFormat="1" applyFont="1" applyBorder="1" applyAlignment="1" applyProtection="1">
      <alignment horizontal="center" vertical="center" wrapText="1"/>
      <protection locked="0"/>
    </xf>
    <xf numFmtId="0" fontId="80" fillId="0" borderId="2" xfId="0" applyFont="1" applyBorder="1" applyAlignment="1" applyProtection="1">
      <alignment horizontal="center" vertical="center" wrapText="1"/>
      <protection locked="0"/>
    </xf>
    <xf numFmtId="0" fontId="30" fillId="0" borderId="13" xfId="11" applyBorder="1" applyAlignment="1" applyProtection="1">
      <alignment horizontal="center" vertical="center" wrapText="1"/>
      <protection locked="0"/>
    </xf>
    <xf numFmtId="0" fontId="3" fillId="0" borderId="1" xfId="0" applyFont="1" applyBorder="1" applyAlignment="1" applyProtection="1">
      <alignment horizontal="center" vertical="center" wrapText="1"/>
      <protection locked="0"/>
    </xf>
    <xf numFmtId="0" fontId="6" fillId="0" borderId="3" xfId="0" applyFont="1" applyBorder="1" applyAlignment="1" applyProtection="1">
      <alignment horizontal="center" vertical="center" wrapText="1"/>
      <protection locked="0"/>
    </xf>
    <xf numFmtId="167" fontId="4" fillId="0" borderId="1" xfId="0" applyNumberFormat="1" applyFont="1" applyBorder="1" applyAlignment="1" applyProtection="1">
      <alignment horizontal="center" vertical="center" wrapText="1"/>
      <protection locked="0"/>
    </xf>
    <xf numFmtId="0" fontId="30" fillId="0" borderId="2" xfId="11" applyBorder="1" applyAlignment="1" applyProtection="1">
      <alignment horizontal="center" vertical="center" wrapText="1"/>
      <protection locked="0"/>
    </xf>
    <xf numFmtId="0" fontId="60" fillId="6" borderId="34" xfId="0" applyFont="1" applyFill="1" applyBorder="1"/>
    <xf numFmtId="0" fontId="60" fillId="0" borderId="34" xfId="0" applyFont="1" applyBorder="1"/>
    <xf numFmtId="0" fontId="32" fillId="2" borderId="0" xfId="0" applyFont="1" applyFill="1" applyAlignment="1" applyProtection="1">
      <alignment horizontal="center" vertical="center" wrapText="1"/>
      <protection hidden="1"/>
    </xf>
    <xf numFmtId="9" fontId="55" fillId="0" borderId="0" xfId="1" applyFont="1" applyFill="1" applyBorder="1" applyAlignment="1" applyProtection="1">
      <alignment horizontal="right" vertical="center" wrapText="1"/>
      <protection locked="0"/>
    </xf>
    <xf numFmtId="164" fontId="84" fillId="0" borderId="2" xfId="0" applyNumberFormat="1" applyFont="1" applyBorder="1" applyAlignment="1" applyProtection="1">
      <alignment horizontal="center" vertical="center" wrapText="1"/>
      <protection locked="0"/>
    </xf>
    <xf numFmtId="0" fontId="85" fillId="0" borderId="13" xfId="0" applyFont="1" applyBorder="1" applyAlignment="1" applyProtection="1">
      <alignment horizontal="center" vertical="center" wrapText="1"/>
      <protection locked="0"/>
    </xf>
    <xf numFmtId="0" fontId="4" fillId="0" borderId="3" xfId="0" applyFont="1" applyBorder="1" applyAlignment="1" applyProtection="1">
      <alignment horizontal="center" vertical="center" wrapText="1"/>
      <protection locked="0"/>
    </xf>
    <xf numFmtId="0" fontId="33" fillId="0" borderId="1" xfId="0" applyFont="1" applyBorder="1" applyAlignment="1" applyProtection="1">
      <alignment horizontal="center" vertical="center" wrapText="1"/>
      <protection locked="0"/>
    </xf>
    <xf numFmtId="164" fontId="4" fillId="7" borderId="27" xfId="0" applyNumberFormat="1" applyFont="1" applyFill="1" applyBorder="1" applyAlignment="1" applyProtection="1">
      <alignment horizontal="center" vertical="center" wrapText="1"/>
      <protection locked="0"/>
    </xf>
    <xf numFmtId="0" fontId="0" fillId="2" borderId="0" xfId="0" applyFill="1" applyAlignment="1" applyProtection="1">
      <alignment horizontal="center" vertical="center" wrapText="1"/>
      <protection hidden="1"/>
    </xf>
    <xf numFmtId="0" fontId="5" fillId="2" borderId="0" xfId="0" applyFont="1" applyFill="1" applyAlignment="1" applyProtection="1">
      <alignment horizontal="center" vertical="center" wrapText="1"/>
      <protection hidden="1"/>
    </xf>
    <xf numFmtId="0" fontId="86" fillId="2" borderId="0" xfId="0" applyFont="1" applyFill="1" applyAlignment="1" applyProtection="1">
      <alignment horizontal="center" vertical="center" wrapText="1"/>
      <protection hidden="1"/>
    </xf>
    <xf numFmtId="0" fontId="0" fillId="0" borderId="0" xfId="0" applyAlignment="1" applyProtection="1">
      <alignment vertical="center" wrapText="1"/>
      <protection hidden="1"/>
    </xf>
    <xf numFmtId="0" fontId="10" fillId="0" borderId="0" xfId="2" applyFont="1" applyAlignment="1" applyProtection="1">
      <alignment vertical="center" wrapText="1"/>
      <protection hidden="1"/>
    </xf>
    <xf numFmtId="9" fontId="10" fillId="0" borderId="0" xfId="1" applyFont="1" applyAlignment="1" applyProtection="1">
      <alignment vertical="center" wrapText="1"/>
      <protection hidden="1"/>
    </xf>
    <xf numFmtId="0" fontId="0" fillId="2" borderId="0" xfId="0" applyFill="1" applyAlignment="1" applyProtection="1">
      <alignment vertical="center" wrapText="1"/>
      <protection hidden="1"/>
    </xf>
    <xf numFmtId="0" fontId="0" fillId="0" borderId="0" xfId="0" applyAlignment="1" applyProtection="1">
      <alignment vertical="center" wrapText="1"/>
      <protection locked="0"/>
    </xf>
    <xf numFmtId="0" fontId="10" fillId="0" borderId="0" xfId="2" applyFont="1" applyAlignment="1" applyProtection="1">
      <alignment vertical="center" wrapText="1"/>
      <protection locked="0"/>
    </xf>
    <xf numFmtId="0" fontId="0" fillId="0" borderId="0" xfId="0" applyAlignment="1" applyProtection="1">
      <alignment horizontal="left" vertical="center" wrapText="1"/>
      <protection locked="0"/>
    </xf>
    <xf numFmtId="0" fontId="5" fillId="0" borderId="0" xfId="0" applyFont="1" applyAlignment="1" applyProtection="1">
      <alignment horizontal="left" vertical="center" wrapText="1"/>
      <protection locked="0"/>
    </xf>
    <xf numFmtId="0" fontId="5" fillId="0" borderId="0" xfId="0" applyFont="1" applyAlignment="1" applyProtection="1">
      <alignment vertical="center" wrapText="1"/>
      <protection locked="0"/>
    </xf>
    <xf numFmtId="0" fontId="67" fillId="2" borderId="1" xfId="1" applyNumberFormat="1" applyFont="1" applyFill="1" applyBorder="1" applyAlignment="1" applyProtection="1">
      <alignment horizontal="center" vertical="center" wrapText="1"/>
      <protection locked="0"/>
    </xf>
    <xf numFmtId="0" fontId="59" fillId="2" borderId="1" xfId="1" applyNumberFormat="1" applyFont="1" applyFill="1" applyBorder="1" applyAlignment="1" applyProtection="1">
      <alignment horizontal="center" vertical="center" wrapText="1"/>
      <protection locked="0"/>
    </xf>
    <xf numFmtId="0" fontId="69" fillId="2" borderId="1" xfId="1" applyNumberFormat="1" applyFont="1" applyFill="1" applyBorder="1" applyAlignment="1" applyProtection="1">
      <alignment horizontal="center" vertical="center" wrapText="1"/>
      <protection locked="0"/>
    </xf>
    <xf numFmtId="9" fontId="59" fillId="2" borderId="0" xfId="1" applyFont="1" applyFill="1" applyBorder="1" applyAlignment="1" applyProtection="1">
      <alignment horizontal="center" vertical="center" wrapText="1"/>
      <protection locked="0"/>
    </xf>
    <xf numFmtId="0" fontId="86" fillId="0" borderId="0" xfId="0" applyFont="1" applyAlignment="1" applyProtection="1">
      <alignment wrapText="1"/>
      <protection locked="0"/>
    </xf>
    <xf numFmtId="0" fontId="0" fillId="0" borderId="0" xfId="0" applyAlignment="1" applyProtection="1">
      <alignment horizontal="center" vertical="center" wrapText="1"/>
      <protection locked="0"/>
    </xf>
    <xf numFmtId="0" fontId="32" fillId="0" borderId="0" xfId="0" applyFont="1" applyAlignment="1" applyProtection="1">
      <alignment vertical="center" wrapText="1"/>
      <protection locked="0"/>
    </xf>
    <xf numFmtId="0" fontId="5" fillId="0" borderId="0" xfId="0" applyFont="1" applyAlignment="1" applyProtection="1">
      <alignment horizontal="center" vertical="center" wrapText="1"/>
      <protection locked="0"/>
    </xf>
    <xf numFmtId="0" fontId="9" fillId="0" borderId="0" xfId="0" applyFont="1" applyAlignment="1" applyProtection="1">
      <alignment vertical="center" wrapText="1"/>
      <protection locked="0"/>
    </xf>
    <xf numFmtId="0" fontId="83" fillId="0" borderId="0" xfId="0" applyFont="1" applyAlignment="1" applyProtection="1">
      <alignment vertical="center" wrapText="1"/>
      <protection locked="0"/>
    </xf>
    <xf numFmtId="0" fontId="14" fillId="0" borderId="0" xfId="0" applyFont="1" applyAlignment="1" applyProtection="1">
      <alignment horizontal="center" vertical="center" wrapText="1"/>
      <protection locked="0"/>
    </xf>
    <xf numFmtId="0" fontId="14" fillId="0" borderId="0" xfId="0" applyFont="1" applyAlignment="1" applyProtection="1">
      <alignment horizontal="left" vertical="center" wrapText="1"/>
      <protection locked="0"/>
    </xf>
    <xf numFmtId="0" fontId="9" fillId="0" borderId="0" xfId="0" applyFont="1" applyAlignment="1" applyProtection="1">
      <alignment horizontal="center" vertical="center" wrapText="1"/>
      <protection locked="0"/>
    </xf>
    <xf numFmtId="0" fontId="44" fillId="0" borderId="0" xfId="0" applyFont="1" applyAlignment="1" applyProtection="1">
      <alignment vertical="center" wrapText="1"/>
      <protection locked="0"/>
    </xf>
    <xf numFmtId="0" fontId="4" fillId="6" borderId="27" xfId="0" applyFont="1" applyFill="1" applyBorder="1" applyAlignment="1" applyProtection="1">
      <alignment horizontal="center" vertical="center" wrapText="1"/>
      <protection locked="0"/>
    </xf>
    <xf numFmtId="0" fontId="47" fillId="0" borderId="3" xfId="0" applyFont="1" applyBorder="1" applyAlignment="1" applyProtection="1">
      <alignment horizontal="center" vertical="center" wrapText="1"/>
      <protection locked="0"/>
    </xf>
    <xf numFmtId="0" fontId="51" fillId="0" borderId="3" xfId="0" applyFont="1" applyBorder="1" applyAlignment="1" applyProtection="1">
      <alignment horizontal="center" vertical="center" wrapText="1"/>
      <protection locked="0"/>
    </xf>
    <xf numFmtId="0" fontId="4" fillId="7" borderId="27" xfId="0" applyFont="1" applyFill="1" applyBorder="1" applyAlignment="1" applyProtection="1">
      <alignment horizontal="center" vertical="center" wrapText="1"/>
      <protection locked="0"/>
    </xf>
    <xf numFmtId="0" fontId="61" fillId="0" borderId="3" xfId="0" applyFont="1" applyBorder="1" applyAlignment="1" applyProtection="1">
      <alignment horizontal="center" vertical="center" wrapText="1"/>
      <protection locked="0"/>
    </xf>
    <xf numFmtId="0" fontId="68" fillId="0" borderId="3" xfId="0" applyFont="1" applyBorder="1" applyAlignment="1" applyProtection="1">
      <alignment horizontal="center" vertical="center" wrapText="1"/>
      <protection locked="0"/>
    </xf>
    <xf numFmtId="0" fontId="7" fillId="2" borderId="0" xfId="0" applyFont="1" applyFill="1" applyAlignment="1" applyProtection="1">
      <alignment horizontal="center" vertical="center" wrapText="1"/>
      <protection hidden="1"/>
    </xf>
    <xf numFmtId="0" fontId="64" fillId="0" borderId="3" xfId="0" applyFont="1" applyBorder="1" applyAlignment="1" applyProtection="1">
      <alignment horizontal="center" vertical="center" wrapText="1"/>
      <protection locked="0"/>
    </xf>
    <xf numFmtId="0" fontId="72" fillId="0" borderId="3" xfId="0" applyFont="1" applyBorder="1" applyAlignment="1" applyProtection="1">
      <alignment horizontal="center" vertical="center" wrapText="1"/>
      <protection locked="0"/>
    </xf>
    <xf numFmtId="164" fontId="47" fillId="0" borderId="3" xfId="0" applyNumberFormat="1" applyFont="1" applyBorder="1" applyAlignment="1" applyProtection="1">
      <alignment horizontal="center" vertical="center" wrapText="1"/>
      <protection locked="0"/>
    </xf>
    <xf numFmtId="164" fontId="51" fillId="0" borderId="3" xfId="0" applyNumberFormat="1" applyFont="1" applyBorder="1" applyAlignment="1" applyProtection="1">
      <alignment horizontal="center" vertical="center" wrapText="1"/>
      <protection locked="0"/>
    </xf>
    <xf numFmtId="164" fontId="61" fillId="0" borderId="3" xfId="0" applyNumberFormat="1" applyFont="1" applyBorder="1" applyAlignment="1" applyProtection="1">
      <alignment horizontal="center" vertical="center" wrapText="1"/>
      <protection locked="0"/>
    </xf>
    <xf numFmtId="164" fontId="68" fillId="0" borderId="3" xfId="0" applyNumberFormat="1" applyFont="1" applyBorder="1" applyAlignment="1" applyProtection="1">
      <alignment horizontal="center" vertical="center" wrapText="1"/>
      <protection locked="0"/>
    </xf>
    <xf numFmtId="0" fontId="8" fillId="8" borderId="9" xfId="0" applyFont="1" applyFill="1" applyBorder="1" applyAlignment="1" applyProtection="1">
      <alignment horizontal="center" vertical="center" wrapText="1"/>
      <protection hidden="1"/>
    </xf>
    <xf numFmtId="0" fontId="13" fillId="8" borderId="9" xfId="0" applyFont="1" applyFill="1" applyBorder="1" applyAlignment="1" applyProtection="1">
      <alignment horizontal="center" vertical="center" wrapText="1"/>
      <protection hidden="1"/>
    </xf>
    <xf numFmtId="0" fontId="17" fillId="8" borderId="9" xfId="0" applyFont="1" applyFill="1" applyBorder="1" applyAlignment="1" applyProtection="1">
      <alignment horizontal="center" vertical="center" wrapText="1"/>
      <protection hidden="1"/>
    </xf>
    <xf numFmtId="0" fontId="37" fillId="8" borderId="9" xfId="0" applyFont="1" applyFill="1" applyBorder="1" applyAlignment="1" applyProtection="1">
      <alignment horizontal="center" vertical="center" wrapText="1"/>
      <protection hidden="1"/>
    </xf>
    <xf numFmtId="0" fontId="8" fillId="8" borderId="10" xfId="0" applyFont="1" applyFill="1" applyBorder="1" applyAlignment="1" applyProtection="1">
      <alignment horizontal="center" vertical="center" wrapText="1"/>
      <protection hidden="1"/>
    </xf>
    <xf numFmtId="0" fontId="19" fillId="8" borderId="9" xfId="0" applyFont="1" applyFill="1" applyBorder="1" applyAlignment="1" applyProtection="1">
      <alignment horizontal="center" vertical="center" wrapText="1"/>
      <protection hidden="1"/>
    </xf>
    <xf numFmtId="0" fontId="22" fillId="8" borderId="9" xfId="0" applyFont="1" applyFill="1" applyBorder="1" applyAlignment="1" applyProtection="1">
      <alignment horizontal="center" vertical="center" wrapText="1"/>
      <protection hidden="1"/>
    </xf>
    <xf numFmtId="0" fontId="81" fillId="8" borderId="23" xfId="2" applyFont="1" applyFill="1" applyBorder="1" applyAlignment="1" applyProtection="1">
      <alignment horizontal="center" vertical="center" wrapText="1"/>
      <protection hidden="1"/>
    </xf>
    <xf numFmtId="0" fontId="57" fillId="8" borderId="24" xfId="2" applyFont="1" applyFill="1" applyBorder="1" applyAlignment="1" applyProtection="1">
      <alignment horizontal="center" vertical="center" wrapText="1"/>
      <protection hidden="1"/>
    </xf>
    <xf numFmtId="0" fontId="57" fillId="8" borderId="25" xfId="2" applyFont="1" applyFill="1" applyBorder="1" applyAlignment="1" applyProtection="1">
      <alignment horizontal="center" vertical="center" wrapText="1"/>
      <protection hidden="1"/>
    </xf>
    <xf numFmtId="0" fontId="26" fillId="8" borderId="11" xfId="0" applyFont="1" applyFill="1" applyBorder="1" applyAlignment="1" applyProtection="1">
      <alignment horizontal="center" vertical="center" wrapText="1"/>
      <protection hidden="1"/>
    </xf>
    <xf numFmtId="0" fontId="26" fillId="8" borderId="8" xfId="0" applyFont="1" applyFill="1" applyBorder="1" applyAlignment="1" applyProtection="1">
      <alignment horizontal="center" vertical="center" wrapText="1"/>
      <protection hidden="1"/>
    </xf>
    <xf numFmtId="164" fontId="41" fillId="8" borderId="7" xfId="0" applyNumberFormat="1" applyFont="1" applyFill="1" applyBorder="1" applyAlignment="1" applyProtection="1">
      <alignment horizontal="center" vertical="center" wrapText="1"/>
      <protection hidden="1"/>
    </xf>
    <xf numFmtId="0" fontId="37" fillId="8" borderId="31" xfId="0" applyFont="1" applyFill="1" applyBorder="1" applyAlignment="1" applyProtection="1">
      <alignment horizontal="center" vertical="center" wrapText="1"/>
      <protection hidden="1"/>
    </xf>
    <xf numFmtId="0" fontId="39" fillId="8" borderId="9" xfId="0" applyFont="1" applyFill="1" applyBorder="1" applyAlignment="1" applyProtection="1">
      <alignment horizontal="center" vertical="center" wrapText="1"/>
      <protection hidden="1"/>
    </xf>
    <xf numFmtId="165" fontId="82" fillId="8" borderId="32" xfId="1" applyNumberFormat="1" applyFont="1" applyFill="1" applyBorder="1" applyAlignment="1" applyProtection="1">
      <alignment horizontal="center" vertical="center" wrapText="1"/>
      <protection hidden="1"/>
    </xf>
    <xf numFmtId="165" fontId="12" fillId="8" borderId="33" xfId="1" applyNumberFormat="1" applyFont="1" applyFill="1" applyBorder="1" applyAlignment="1" applyProtection="1">
      <alignment horizontal="center" vertical="center" wrapText="1"/>
      <protection hidden="1"/>
    </xf>
    <xf numFmtId="165" fontId="12" fillId="8" borderId="32" xfId="1" applyNumberFormat="1" applyFont="1" applyFill="1" applyBorder="1" applyAlignment="1" applyProtection="1">
      <alignment horizontal="center" vertical="center" wrapText="1"/>
      <protection hidden="1"/>
    </xf>
    <xf numFmtId="164" fontId="58" fillId="8" borderId="12" xfId="0" applyNumberFormat="1" applyFont="1" applyFill="1" applyBorder="1" applyAlignment="1" applyProtection="1">
      <alignment horizontal="center" vertical="center" wrapText="1"/>
      <protection hidden="1"/>
    </xf>
    <xf numFmtId="164" fontId="27" fillId="8" borderId="12" xfId="0" applyNumberFormat="1" applyFont="1" applyFill="1" applyBorder="1" applyAlignment="1" applyProtection="1">
      <alignment horizontal="center" vertical="center" wrapText="1"/>
      <protection hidden="1"/>
    </xf>
    <xf numFmtId="18" fontId="28" fillId="8" borderId="12" xfId="0" applyNumberFormat="1" applyFont="1" applyFill="1" applyBorder="1" applyAlignment="1" applyProtection="1">
      <alignment horizontal="center" vertical="center" wrapText="1"/>
      <protection hidden="1"/>
    </xf>
    <xf numFmtId="18" fontId="28" fillId="8" borderId="8" xfId="0" applyNumberFormat="1" applyFont="1" applyFill="1" applyBorder="1" applyAlignment="1" applyProtection="1">
      <alignment horizontal="center" vertical="center" wrapText="1"/>
      <protection hidden="1"/>
    </xf>
    <xf numFmtId="164" fontId="41" fillId="8" borderId="8" xfId="0" applyNumberFormat="1" applyFont="1" applyFill="1" applyBorder="1" applyAlignment="1" applyProtection="1">
      <alignment horizontal="center" vertical="center" wrapText="1"/>
      <protection hidden="1"/>
    </xf>
    <xf numFmtId="0" fontId="0" fillId="8" borderId="29" xfId="0" applyFill="1" applyBorder="1" applyAlignment="1" applyProtection="1">
      <alignment horizontal="center" vertical="center" wrapText="1"/>
      <protection hidden="1"/>
    </xf>
    <xf numFmtId="0" fontId="0" fillId="8" borderId="28" xfId="0" applyFill="1" applyBorder="1" applyAlignment="1" applyProtection="1">
      <alignment horizontal="center" vertical="center" wrapText="1"/>
      <protection hidden="1"/>
    </xf>
    <xf numFmtId="0" fontId="0" fillId="8" borderId="4" xfId="0" applyFill="1" applyBorder="1" applyAlignment="1" applyProtection="1">
      <alignment horizontal="center" vertical="center" wrapText="1"/>
      <protection hidden="1"/>
    </xf>
    <xf numFmtId="0" fontId="20" fillId="8" borderId="29" xfId="0" applyFont="1" applyFill="1" applyBorder="1" applyAlignment="1" applyProtection="1">
      <alignment horizontal="centerContinuous" vertical="center" wrapText="1"/>
      <protection hidden="1"/>
    </xf>
    <xf numFmtId="0" fontId="0" fillId="8" borderId="1" xfId="0" applyFill="1" applyBorder="1" applyAlignment="1" applyProtection="1">
      <alignment horizontal="centerContinuous" vertical="center" wrapText="1"/>
      <protection hidden="1"/>
    </xf>
    <xf numFmtId="0" fontId="0" fillId="8" borderId="3" xfId="0" applyFill="1" applyBorder="1" applyAlignment="1" applyProtection="1">
      <alignment horizontal="centerContinuous" vertical="center" wrapText="1"/>
      <protection hidden="1"/>
    </xf>
    <xf numFmtId="0" fontId="0" fillId="8" borderId="30" xfId="0" applyFill="1" applyBorder="1" applyAlignment="1" applyProtection="1">
      <alignment horizontal="centerContinuous" vertical="center" wrapText="1"/>
      <protection hidden="1"/>
    </xf>
    <xf numFmtId="0" fontId="0" fillId="8" borderId="26" xfId="0" applyFill="1" applyBorder="1" applyAlignment="1" applyProtection="1">
      <alignment horizontal="centerContinuous" vertical="center" wrapText="1"/>
      <protection hidden="1"/>
    </xf>
    <xf numFmtId="0" fontId="22" fillId="8" borderId="31" xfId="0" applyFont="1" applyFill="1" applyBorder="1" applyAlignment="1" applyProtection="1">
      <alignment horizontal="centerContinuous" vertical="center" wrapText="1"/>
      <protection hidden="1"/>
    </xf>
    <xf numFmtId="0" fontId="87" fillId="9" borderId="1" xfId="0" applyFont="1" applyFill="1" applyBorder="1" applyAlignment="1">
      <alignment horizontal="center" vertical="center" wrapText="1"/>
    </xf>
    <xf numFmtId="0" fontId="88" fillId="9" borderId="1" xfId="0" applyFont="1" applyFill="1" applyBorder="1" applyAlignment="1">
      <alignment horizontal="center" vertical="center" wrapText="1"/>
    </xf>
    <xf numFmtId="0" fontId="88" fillId="9" borderId="1" xfId="0" applyFont="1" applyFill="1" applyBorder="1" applyAlignment="1">
      <alignment horizontal="center" vertical="center"/>
    </xf>
    <xf numFmtId="0" fontId="3" fillId="0" borderId="1" xfId="0" applyFont="1" applyBorder="1" applyAlignment="1" applyProtection="1">
      <alignment horizontal="center" wrapText="1"/>
      <protection locked="0"/>
    </xf>
    <xf numFmtId="164" fontId="33" fillId="0" borderId="2" xfId="0" applyNumberFormat="1" applyFont="1" applyBorder="1" applyAlignment="1" applyProtection="1">
      <alignment horizontal="center" vertical="center" wrapText="1"/>
      <protection locked="0"/>
    </xf>
    <xf numFmtId="164" fontId="3" fillId="0" borderId="3" xfId="0" applyNumberFormat="1" applyFont="1" applyBorder="1" applyAlignment="1" applyProtection="1">
      <alignment horizontal="center" wrapText="1"/>
      <protection locked="0"/>
    </xf>
    <xf numFmtId="164" fontId="3" fillId="0" borderId="13" xfId="0" applyNumberFormat="1" applyFont="1" applyBorder="1" applyAlignment="1" applyProtection="1">
      <alignment horizontal="center" wrapText="1"/>
      <protection locked="0"/>
    </xf>
    <xf numFmtId="0" fontId="0" fillId="0" borderId="1" xfId="0" applyBorder="1" applyAlignment="1">
      <alignment horizontal="left"/>
    </xf>
    <xf numFmtId="0" fontId="0" fillId="0" borderId="2" xfId="0" applyBorder="1" applyAlignment="1">
      <alignment horizontal="left"/>
    </xf>
    <xf numFmtId="0" fontId="0" fillId="0" borderId="19" xfId="0" applyBorder="1" applyAlignment="1">
      <alignment horizontal="left"/>
    </xf>
    <xf numFmtId="0" fontId="0" fillId="3" borderId="1" xfId="0" applyFill="1" applyBorder="1" applyAlignment="1">
      <alignment horizontal="left"/>
    </xf>
    <xf numFmtId="0" fontId="0" fillId="3" borderId="2" xfId="0" applyFill="1" applyBorder="1" applyAlignment="1">
      <alignment horizontal="left"/>
    </xf>
    <xf numFmtId="0" fontId="0" fillId="3" borderId="19" xfId="0" applyFill="1" applyBorder="1" applyAlignment="1">
      <alignment horizontal="left"/>
    </xf>
    <xf numFmtId="0" fontId="14" fillId="0" borderId="0" xfId="0" applyFont="1" applyAlignment="1">
      <alignment horizontal="center" vertical="center" wrapText="1"/>
    </xf>
    <xf numFmtId="0" fontId="14" fillId="0" borderId="6" xfId="0" applyFont="1" applyBorder="1" applyAlignment="1">
      <alignment horizontal="center" vertical="center" wrapText="1"/>
    </xf>
    <xf numFmtId="0" fontId="14" fillId="0" borderId="0" xfId="0" applyFont="1" applyAlignment="1">
      <alignment horizontal="center" vertical="top"/>
    </xf>
    <xf numFmtId="0" fontId="14" fillId="0" borderId="6" xfId="0" applyFont="1" applyBorder="1" applyAlignment="1">
      <alignment horizontal="center" vertical="top"/>
    </xf>
    <xf numFmtId="0" fontId="0" fillId="3" borderId="15" xfId="0" applyFill="1" applyBorder="1" applyAlignment="1">
      <alignment horizontal="left"/>
    </xf>
    <xf numFmtId="0" fontId="0" fillId="3" borderId="16" xfId="0" applyFill="1" applyBorder="1" applyAlignment="1">
      <alignment horizontal="left"/>
    </xf>
    <xf numFmtId="0" fontId="0" fillId="3" borderId="17" xfId="0" applyFill="1" applyBorder="1" applyAlignment="1">
      <alignment horizontal="left"/>
    </xf>
    <xf numFmtId="0" fontId="14" fillId="0" borderId="1" xfId="0" applyFont="1" applyBorder="1" applyAlignment="1">
      <alignment horizontal="left"/>
    </xf>
    <xf numFmtId="0" fontId="14" fillId="0" borderId="0" xfId="0" applyFont="1" applyAlignment="1">
      <alignment horizontal="left" vertical="top" wrapText="1"/>
    </xf>
    <xf numFmtId="0" fontId="14" fillId="0" borderId="6" xfId="0" applyFont="1" applyBorder="1" applyAlignment="1">
      <alignment horizontal="left" vertical="top" wrapText="1"/>
    </xf>
    <xf numFmtId="0" fontId="34" fillId="5" borderId="1" xfId="0" applyFont="1" applyFill="1" applyBorder="1" applyAlignment="1">
      <alignment horizontal="center" vertical="center" wrapText="1" readingOrder="1"/>
    </xf>
  </cellXfs>
  <cellStyles count="12">
    <cellStyle name="Encabezado 1 2" xfId="9" xr:uid="{00000000-0005-0000-0000-000000000000}"/>
    <cellStyle name="Fecha" xfId="6" xr:uid="{00000000-0005-0000-0000-000001000000}"/>
    <cellStyle name="Hipervínculo" xfId="11" builtinId="8"/>
    <cellStyle name="Hipervínculo 2" xfId="4" xr:uid="{00000000-0005-0000-0000-000003000000}"/>
    <cellStyle name="Millares [0] 2" xfId="5" xr:uid="{00000000-0005-0000-0000-000004000000}"/>
    <cellStyle name="Normal" xfId="0" builtinId="0"/>
    <cellStyle name="Normal_Periódico Kaizen MC División Construcción" xfId="2" xr:uid="{00000000-0005-0000-0000-000006000000}"/>
    <cellStyle name="Porcentaje" xfId="1" builtinId="5"/>
    <cellStyle name="Porcentaje 2" xfId="7" xr:uid="{00000000-0005-0000-0000-000008000000}"/>
    <cellStyle name="Título 3 2" xfId="8" xr:uid="{00000000-0005-0000-0000-000009000000}"/>
    <cellStyle name="Título 4" xfId="10" xr:uid="{00000000-0005-0000-0000-00000A000000}"/>
    <cellStyle name="zHiddenText" xfId="3" xr:uid="{00000000-0005-0000-0000-00000B000000}"/>
  </cellStyles>
  <dxfs count="58">
    <dxf>
      <font>
        <b/>
        <i val="0"/>
        <color theme="1"/>
      </font>
      <fill>
        <patternFill>
          <bgColor theme="0"/>
        </patternFill>
      </fill>
    </dxf>
    <dxf>
      <font>
        <color rgb="FF9C0006"/>
      </font>
      <fill>
        <patternFill>
          <bgColor rgb="FFFFC7CE"/>
        </patternFill>
      </fill>
    </dxf>
    <dxf>
      <font>
        <b/>
        <i val="0"/>
        <color theme="0"/>
      </font>
      <fill>
        <patternFill>
          <bgColor rgb="FF00B050"/>
        </patternFill>
      </fill>
    </dxf>
    <dxf>
      <font>
        <b/>
        <i val="0"/>
        <color rgb="FFC00000"/>
      </font>
      <fill>
        <patternFill>
          <bgColor rgb="FFFFFF00"/>
        </patternFill>
      </fill>
    </dxf>
    <dxf>
      <font>
        <b/>
        <i val="0"/>
        <color theme="1"/>
      </font>
      <fill>
        <patternFill>
          <bgColor theme="8" tint="0.39994506668294322"/>
        </patternFill>
      </fill>
    </dxf>
    <dxf>
      <font>
        <b/>
        <i val="0"/>
        <color theme="0"/>
      </font>
      <fill>
        <patternFill>
          <bgColor theme="2" tint="-0.499984740745262"/>
        </patternFill>
      </fill>
    </dxf>
    <dxf>
      <font>
        <b/>
        <i val="0"/>
        <color rgb="FFFFC000"/>
      </font>
      <fill>
        <patternFill>
          <bgColor rgb="FFFF0000"/>
        </patternFill>
      </fill>
    </dxf>
    <dxf>
      <font>
        <b/>
        <i val="0"/>
        <color theme="0"/>
      </font>
      <fill>
        <patternFill>
          <bgColor theme="1" tint="4.9989318521683403E-2"/>
        </patternFill>
      </fill>
    </dxf>
    <dxf>
      <font>
        <color indexed="15"/>
      </font>
      <fill>
        <patternFill>
          <bgColor indexed="14"/>
        </patternFill>
      </fill>
    </dxf>
    <dxf>
      <font>
        <color indexed="15"/>
      </font>
      <fill>
        <patternFill>
          <bgColor indexed="17"/>
        </patternFill>
      </fill>
    </dxf>
    <dxf>
      <font>
        <color indexed="39"/>
      </font>
    </dxf>
    <dxf>
      <font>
        <color rgb="FFFF0000"/>
      </font>
    </dxf>
    <dxf>
      <font>
        <color rgb="FF3333CC"/>
      </font>
    </dxf>
    <dxf>
      <font>
        <color indexed="15"/>
      </font>
      <fill>
        <patternFill>
          <bgColor indexed="14"/>
        </patternFill>
      </fill>
    </dxf>
    <dxf>
      <font>
        <color indexed="15"/>
      </font>
      <fill>
        <patternFill>
          <bgColor indexed="17"/>
        </patternFill>
      </fill>
    </dxf>
    <dxf>
      <font>
        <color indexed="39"/>
      </font>
    </dxf>
    <dxf>
      <font>
        <color rgb="FFFF0000"/>
      </font>
    </dxf>
    <dxf>
      <font>
        <color rgb="FF3333CC"/>
      </font>
    </dxf>
    <dxf>
      <font>
        <color rgb="FFFFFF00"/>
      </font>
      <fill>
        <patternFill>
          <bgColor rgb="FFFF0000"/>
        </patternFill>
      </fill>
    </dxf>
    <dxf>
      <font>
        <b val="0"/>
        <i val="0"/>
        <strike val="0"/>
        <condense val="0"/>
        <extend val="0"/>
        <outline val="0"/>
        <shadow val="0"/>
        <u val="none"/>
        <vertAlign val="baseline"/>
        <sz val="12"/>
        <color rgb="FF002060"/>
        <name val="Arial"/>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border>
      <protection locked="0" hidden="0"/>
    </dxf>
    <dxf>
      <font>
        <b/>
        <i val="0"/>
        <strike val="0"/>
        <condense val="0"/>
        <extend val="0"/>
        <outline val="0"/>
        <shadow val="0"/>
        <u val="none"/>
        <vertAlign val="baseline"/>
        <sz val="10"/>
        <color rgb="FFFF0000"/>
        <name val="Arial"/>
        <scheme val="none"/>
      </font>
      <numFmt numFmtId="164" formatCode="[$-C0A]d\-mmm\-yy;@"/>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protection locked="0" hidden="0"/>
    </dxf>
    <dxf>
      <font>
        <b/>
        <i val="0"/>
        <strike val="0"/>
        <condense val="0"/>
        <extend val="0"/>
        <outline val="0"/>
        <shadow val="0"/>
        <u val="none"/>
        <vertAlign val="baseline"/>
        <sz val="12"/>
        <color rgb="FFFF0000"/>
        <name val="Arial"/>
        <scheme val="none"/>
      </font>
      <numFmt numFmtId="164" formatCode="[$-C0A]d\-mmm\-yy;@"/>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8"/>
        <color auto="1"/>
        <name val="Arial"/>
        <scheme val="none"/>
      </font>
      <numFmt numFmtId="164" formatCode="[$-C0A]d\-mmm\-yy;@"/>
      <fill>
        <patternFill patternType="none">
          <fgColor indexed="64"/>
          <bgColor indexed="65"/>
        </patternFill>
      </fill>
      <alignment horizontal="center" vertical="bottom" textRotation="0" wrapText="1" indent="0" justifyLastLine="0" shrinkToFit="0" readingOrder="0"/>
      <border diagonalUp="0" diagonalDown="0">
        <left/>
        <right style="thin">
          <color indexed="64"/>
        </right>
        <top style="thin">
          <color indexed="64"/>
        </top>
        <bottom style="thin">
          <color indexed="64"/>
        </bottom>
      </border>
      <protection locked="0" hidden="0"/>
    </dxf>
    <dxf>
      <font>
        <b/>
        <i val="0"/>
        <strike val="0"/>
        <condense val="0"/>
        <extend val="0"/>
        <outline val="0"/>
        <shadow val="0"/>
        <u val="none"/>
        <vertAlign val="baseline"/>
        <sz val="12"/>
        <color auto="1"/>
        <name val="Arial"/>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right/>
        <top style="thin">
          <color indexed="64"/>
        </top>
        <bottom style="thin">
          <color indexed="64"/>
        </bottom>
      </border>
      <protection locked="0" hidden="0"/>
    </dxf>
    <dxf>
      <font>
        <b/>
        <i val="0"/>
        <strike val="0"/>
        <condense val="0"/>
        <extend val="0"/>
        <outline val="0"/>
        <shadow val="0"/>
        <u val="none"/>
        <vertAlign val="baseline"/>
        <sz val="12"/>
        <color auto="1"/>
        <name val="Arial"/>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right/>
        <top style="thin">
          <color indexed="64"/>
        </top>
        <bottom style="thin">
          <color indexed="64"/>
        </bottom>
      </border>
      <protection locked="0" hidden="0"/>
    </dxf>
    <dxf>
      <font>
        <b val="0"/>
        <i val="0"/>
        <strike val="0"/>
        <condense val="0"/>
        <extend val="0"/>
        <outline val="0"/>
        <shadow val="0"/>
        <u val="none"/>
        <vertAlign val="baseline"/>
        <sz val="12"/>
        <color auto="1"/>
        <name val="Arial"/>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border>
      <protection locked="0" hidden="0"/>
    </dxf>
    <dxf>
      <font>
        <b/>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right/>
        <top style="thin">
          <color indexed="64"/>
        </top>
        <bottom style="thin">
          <color indexed="64"/>
        </bottom>
      </border>
      <protection locked="0" hidden="0"/>
    </dxf>
    <dxf>
      <font>
        <b/>
        <i val="0"/>
        <strike val="0"/>
        <condense val="0"/>
        <extend val="0"/>
        <outline val="0"/>
        <shadow val="0"/>
        <u val="none"/>
        <vertAlign val="baseline"/>
        <sz val="12"/>
        <color rgb="FFFF0000"/>
        <name val="Arial"/>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8"/>
        <color auto="1"/>
        <name val="Arial"/>
        <scheme val="none"/>
      </font>
      <numFmt numFmtId="0" formatCode="General"/>
      <fill>
        <patternFill patternType="none">
          <fgColor indexed="64"/>
          <bgColor indexed="65"/>
        </patternFill>
      </fill>
      <alignment horizontal="center" vertical="bottom" textRotation="0" wrapText="1" indent="0" justifyLastLine="0" shrinkToFit="0" readingOrder="0"/>
      <border diagonalUp="0" diagonalDown="0">
        <left/>
        <right/>
        <top style="thin">
          <color indexed="64"/>
        </top>
        <bottom style="thin">
          <color indexed="64"/>
        </bottom>
      </border>
      <protection locked="0" hidden="0"/>
    </dxf>
    <dxf>
      <font>
        <b/>
        <i val="0"/>
        <strike val="0"/>
        <condense val="0"/>
        <extend val="0"/>
        <outline val="0"/>
        <shadow val="0"/>
        <u val="none"/>
        <vertAlign val="baseline"/>
        <sz val="12"/>
        <color auto="1"/>
        <name val="Arial"/>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protection locked="0" hidden="0"/>
    </dxf>
    <dxf>
      <font>
        <b/>
        <i val="0"/>
        <strike val="0"/>
        <condense val="0"/>
        <extend val="0"/>
        <outline val="0"/>
        <shadow val="0"/>
        <u val="none"/>
        <vertAlign val="baseline"/>
        <sz val="11"/>
        <color auto="1"/>
        <name val="Arial"/>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11"/>
        <color auto="1"/>
        <name val="Arial"/>
        <scheme val="none"/>
      </font>
      <numFmt numFmtId="164" formatCode="[$-C0A]d\-mmm\-yy;@"/>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border>
      <protection locked="0" hidden="0"/>
    </dxf>
    <dxf>
      <font>
        <b val="0"/>
        <i val="0"/>
        <strike val="0"/>
        <condense val="0"/>
        <extend val="0"/>
        <outline val="0"/>
        <shadow val="0"/>
        <u val="none"/>
        <vertAlign val="baseline"/>
        <sz val="11"/>
        <color auto="1"/>
        <name val="Arial"/>
        <scheme val="none"/>
      </font>
      <numFmt numFmtId="167" formatCode="ddd\,d\-mmm\-yy"/>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1"/>
        <color auto="1"/>
        <name val="Arial"/>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8"/>
        <color auto="1"/>
        <name val="Arial"/>
        <scheme val="none"/>
      </font>
      <numFmt numFmtId="0" formatCode="General"/>
      <fill>
        <patternFill patternType="none">
          <fgColor indexed="64"/>
          <bgColor indexed="65"/>
        </patternFill>
      </fill>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8"/>
        <color auto="1"/>
        <name val="Arial"/>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numFmt numFmtId="0" formatCode="General"/>
      <fill>
        <patternFill patternType="none">
          <fgColor indexed="64"/>
          <bgColor indexed="65"/>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border>
      <protection locked="0" hidden="0"/>
    </dxf>
    <dxf>
      <font>
        <b/>
        <i val="0"/>
        <strike val="0"/>
        <condense val="0"/>
        <extend val="0"/>
        <outline val="0"/>
        <shadow val="0"/>
        <u val="none"/>
        <vertAlign val="baseline"/>
        <sz val="10"/>
        <color rgb="FF2A2A2A"/>
        <name val="Segoe UI"/>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numFmt numFmtId="164" formatCode="[$-C0A]d\-mmm\-yy;@"/>
      <fill>
        <patternFill patternType="none">
          <fgColor indexed="64"/>
          <bgColor indexed="65"/>
        </patternFill>
      </fill>
      <alignment horizontal="center" vertical="center" textRotation="0" wrapText="1" indent="0" justifyLastLine="0" shrinkToFit="0" readingOrder="0"/>
      <border diagonalUp="0" diagonalDown="0">
        <left/>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numFmt numFmtId="164" formatCode="[$-C0A]d\-mmm\-yy;@"/>
      <fill>
        <patternFill patternType="none">
          <fgColor indexed="64"/>
          <bgColor indexed="65"/>
        </patternFill>
      </fill>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auto="1"/>
        <name val="Arial"/>
        <scheme val="none"/>
      </font>
      <numFmt numFmtId="164" formatCode="[$-C0A]d\-mmm\-yy;@"/>
      <fill>
        <patternFill patternType="none">
          <fgColor indexed="64"/>
          <bgColor indexed="65"/>
        </patternFill>
      </fill>
      <alignment horizontal="left" vertical="center" textRotation="0" wrapText="1" indent="0" justifyLastLine="0" shrinkToFit="0" readingOrder="0"/>
      <border diagonalUp="0" diagonalDown="0">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0"/>
        <color auto="1"/>
        <name val="Arial"/>
        <scheme val="none"/>
      </font>
      <numFmt numFmtId="164" formatCode="[$-C0A]d\-mmm\-yy;@"/>
      <fill>
        <patternFill patternType="solid">
          <fgColor indexed="64"/>
          <bgColor theme="0"/>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numFmt numFmtId="164" formatCode="[$-C0A]d\-mmm\-yy;@"/>
      <fill>
        <patternFill patternType="solid">
          <fgColor indexed="64"/>
          <bgColor theme="0"/>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0"/>
        <color auto="1"/>
        <name val="Arial"/>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8"/>
        <color auto="1"/>
        <name val="Arial"/>
        <scheme val="none"/>
      </font>
      <numFmt numFmtId="164" formatCode="[$-C0A]d\-mmm\-yy;@"/>
      <fill>
        <patternFill patternType="none">
          <fgColor indexed="64"/>
          <bgColor indexed="65"/>
        </patternFill>
      </fill>
      <alignment horizontal="center" vertical="bottom" textRotation="0" wrapText="1" indent="0" justifyLastLine="0" shrinkToFit="0" readingOrder="0"/>
      <border diagonalUp="0" diagonalDown="0">
        <left/>
        <right/>
        <top style="thin">
          <color indexed="64"/>
        </top>
        <bottom style="thin">
          <color indexed="64"/>
        </bottom>
      </border>
      <protection locked="0" hidden="0"/>
    </dxf>
    <dxf>
      <border outline="0">
        <left style="thin">
          <color indexed="64"/>
        </left>
        <right style="thin">
          <color indexed="64"/>
        </right>
        <top style="thin">
          <color indexed="64"/>
        </top>
        <bottom style="thin">
          <color indexed="64"/>
        </bottom>
      </border>
    </dxf>
    <dxf>
      <numFmt numFmtId="0" formatCode="General"/>
      <alignment textRotation="0" wrapText="1" justifyLastLine="0" shrinkToFit="0" readingOrder="0"/>
      <protection locked="0" hidden="0"/>
    </dxf>
    <dxf>
      <border>
        <bottom style="thin">
          <color rgb="FF66FFCC"/>
        </bottom>
      </border>
    </dxf>
    <dxf>
      <font>
        <b/>
        <i val="0"/>
        <strike val="0"/>
        <condense val="0"/>
        <extend val="0"/>
        <outline val="0"/>
        <shadow val="0"/>
        <u val="none"/>
        <vertAlign val="baseline"/>
        <sz val="12"/>
        <color theme="0"/>
        <name val="Arial"/>
        <scheme val="none"/>
      </font>
      <numFmt numFmtId="0" formatCode="General"/>
      <fill>
        <patternFill patternType="solid">
          <fgColor indexed="64"/>
          <bgColor rgb="FF002060"/>
        </patternFill>
      </fill>
      <alignment horizontal="center" vertical="center" textRotation="0" wrapText="1" indent="0" justifyLastLine="0" shrinkToFit="0" readingOrder="0"/>
      <border diagonalUp="0" diagonalDown="0" outline="0">
        <left style="thin">
          <color rgb="FF66FFCC"/>
        </left>
        <right style="thin">
          <color rgb="FF66FFCC"/>
        </right>
        <top/>
        <bottom/>
      </border>
      <protection locked="1" hidden="1"/>
    </dxf>
    <dxf>
      <fill>
        <patternFill>
          <bgColor theme="1" tint="0.24994659260841701"/>
        </patternFill>
      </fill>
    </dxf>
    <dxf>
      <fill>
        <patternFill patternType="solid">
          <fgColor indexed="64"/>
          <bgColor theme="1" tint="0.34998626667073579"/>
        </patternFill>
      </fill>
      <border diagonalUp="0" diagonalDown="0">
        <left/>
        <right/>
        <top/>
        <bottom/>
        <vertical/>
        <horizontal/>
      </border>
    </dxf>
    <dxf>
      <font>
        <color theme="0"/>
      </font>
      <fill>
        <patternFill>
          <bgColor theme="1" tint="0.34998626667073579"/>
        </patternFill>
      </fill>
      <border diagonalUp="0" diagonalDown="0">
        <left/>
        <right/>
        <top/>
        <bottom/>
        <vertical/>
        <horizontal/>
      </border>
    </dxf>
    <dxf>
      <font>
        <strike val="0"/>
        <color auto="1"/>
      </font>
      <border diagonalUp="0" diagonalDown="0">
        <left/>
        <right/>
        <top/>
        <bottom/>
        <vertical/>
        <horizontal/>
      </border>
    </dxf>
  </dxfs>
  <tableStyles count="1" defaultTableStyle="TableStyleMedium2" defaultPivotStyle="PivotStyleLight16">
    <tableStyle name="Estilo de tabla personalizado" pivot="0" count="4" xr9:uid="{00000000-0011-0000-FFFF-FFFF00000000}">
      <tableStyleElement type="wholeTable" dxfId="57"/>
      <tableStyleElement type="headerRow" dxfId="56"/>
      <tableStyleElement type="firstRowStripe" dxfId="55"/>
      <tableStyleElement type="secondRowStripe" dxfId="54"/>
    </tableStyle>
  </tableStyles>
  <colors>
    <mruColors>
      <color rgb="FF007736"/>
      <color rgb="FF08FD30"/>
      <color rgb="FF009900"/>
      <color rgb="FF00A252"/>
      <color rgb="FF008000"/>
      <color rgb="FF0066FF"/>
      <color rgb="FF3366FF"/>
      <color rgb="FF784177"/>
      <color rgb="FF747578"/>
      <color rgb="FF007C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12</xdr:col>
      <xdr:colOff>466725</xdr:colOff>
      <xdr:row>65</xdr:row>
      <xdr:rowOff>152400</xdr:rowOff>
    </xdr:from>
    <xdr:to>
      <xdr:col>13</xdr:col>
      <xdr:colOff>429490</xdr:colOff>
      <xdr:row>67</xdr:row>
      <xdr:rowOff>78922</xdr:rowOff>
    </xdr:to>
    <xdr:sp macro="" textlink="">
      <xdr:nvSpPr>
        <xdr:cNvPr id="5" name="Rectángulo 4">
          <a:extLst>
            <a:ext uri="{FF2B5EF4-FFF2-40B4-BE49-F238E27FC236}">
              <a16:creationId xmlns:a16="http://schemas.microsoft.com/office/drawing/2014/main" id="{B9C8599F-0960-4D5A-81C4-D8F80D6F0496}"/>
            </a:ext>
          </a:extLst>
        </xdr:cNvPr>
        <xdr:cNvSpPr/>
      </xdr:nvSpPr>
      <xdr:spPr>
        <a:xfrm>
          <a:off x="9791700" y="12620625"/>
          <a:ext cx="1039090" cy="326572"/>
        </a:xfrm>
        <a:prstGeom prst="rect">
          <a:avLst/>
        </a:prstGeom>
        <a:solidFill>
          <a:schemeClr val="bg1"/>
        </a:solidFill>
        <a:ln w="952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PE" sz="1300" b="1">
              <a:solidFill>
                <a:srgbClr val="002060"/>
              </a:solidFill>
            </a:rPr>
            <a:t>AVC (E.2.)</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30</xdr:col>
      <xdr:colOff>676275</xdr:colOff>
      <xdr:row>0</xdr:row>
      <xdr:rowOff>0</xdr:rowOff>
    </xdr:from>
    <xdr:to>
      <xdr:col>30</xdr:col>
      <xdr:colOff>1577340</xdr:colOff>
      <xdr:row>3</xdr:row>
      <xdr:rowOff>16532</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38" t="8316" r="2499" b="730"/>
        <a:stretch/>
      </xdr:blipFill>
      <xdr:spPr>
        <a:xfrm>
          <a:off x="33070800" y="0"/>
          <a:ext cx="895350" cy="838200"/>
        </a:xfrm>
        <a:prstGeom prst="ellipse">
          <a:avLst/>
        </a:prstGeom>
        <a:ln>
          <a:noFill/>
        </a:ln>
        <a:effectLst>
          <a:softEdge rad="112500"/>
        </a:effectLst>
      </xdr:spPr>
    </xdr:pic>
    <xdr:clientData/>
  </xdr:twoCellAnchor>
  <xdr:twoCellAnchor editAs="oneCell">
    <xdr:from>
      <xdr:col>0</xdr:col>
      <xdr:colOff>238124</xdr:colOff>
      <xdr:row>0</xdr:row>
      <xdr:rowOff>95250</xdr:rowOff>
    </xdr:from>
    <xdr:to>
      <xdr:col>2</xdr:col>
      <xdr:colOff>469133</xdr:colOff>
      <xdr:row>1</xdr:row>
      <xdr:rowOff>359808</xdr:rowOff>
    </xdr:to>
    <xdr:pic>
      <xdr:nvPicPr>
        <xdr:cNvPr id="2" name="Imagen 1">
          <a:extLst>
            <a:ext uri="{FF2B5EF4-FFF2-40B4-BE49-F238E27FC236}">
              <a16:creationId xmlns:a16="http://schemas.microsoft.com/office/drawing/2014/main" id="{5822BF3E-E62C-4931-886E-79EC78DF394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38124" y="95250"/>
          <a:ext cx="2100290" cy="6455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A4:AE409" totalsRowShown="0" headerRowDxfId="53" dataDxfId="51" headerRowBorderDxfId="52" tableBorderDxfId="50">
  <autoFilter ref="A4:AE409" xr:uid="{00000000-0009-0000-0100-000001000000}"/>
  <tableColumns count="31">
    <tableColumn id="1" xr3:uid="{00000000-0010-0000-0000-000001000000}" name="Origin Date " dataDxfId="49"/>
    <tableColumn id="15" xr3:uid="{00000000-0010-0000-0000-00000F000000}" name="#" dataDxfId="48">
      <calculatedColumnFormula>IF(A5&lt;&gt;"",1+B4,"")</calculatedColumnFormula>
    </tableColumn>
    <tableColumn id="14" xr3:uid="{00000000-0010-0000-0000-00000E000000}" name="SHK" dataDxfId="47"/>
    <tableColumn id="13" xr3:uid="{00000000-0010-0000-0000-00000D000000}" name="Proceso / SP" dataDxfId="46"/>
    <tableColumn id="37" xr3:uid="{00000000-0010-0000-0000-000025000000}" name="Description of the Activity_x000a_(BACKLOG)" dataDxfId="45"/>
    <tableColumn id="33" xr3:uid="{00000000-0010-0000-0000-000021000000}" name="DEVELOPMENT _x000a_(DOING)" dataDxfId="44"/>
    <tableColumn id="12" xr3:uid="{00000000-0010-0000-0000-00000C000000}" name="Orden de Servicio y/o Requerimiento Legal " dataDxfId="43"/>
    <tableColumn id="6" xr3:uid="{00000000-0010-0000-0000-000006000000}" name="PRIODIDAD DE ATENCIÓN  " dataDxfId="42" dataCellStyle="Porcentaje">
      <calculatedColumnFormula>IF((A5=""),"",IF((V5="Cerrada"),"ATENDIDO",IF(OR((($AA$2-A5)=0),(($AA$2-A5)=-1),(($AA$2-A5)=-2),(($AA$2-A5)=-3)),"BAJO",IF((T5="-3"),"MEDIO","ALTA"))))</calculatedColumnFormula>
    </tableColumn>
    <tableColumn id="7" xr3:uid="{00000000-0010-0000-0000-000007000000}" name="Origen del Requerimiento" dataDxfId="41"/>
    <tableColumn id="11" xr3:uid="{00000000-0010-0000-0000-00000B000000}" name="Tipo de Requerimiento" dataDxfId="40"/>
    <tableColumn id="8" xr3:uid="{00000000-0010-0000-0000-000008000000}" name="DUEÑO DEL PROCESO _x000a_Quien Elabora" dataDxfId="39"/>
    <tableColumn id="10" xr3:uid="{00000000-0010-0000-0000-00000A000000}" name="Tipo de Servicio " dataDxfId="38"/>
    <tableColumn id="4" xr3:uid="{00000000-0010-0000-0000-000004000000}" name="Tipo de Intervención " dataDxfId="37"/>
    <tableColumn id="24" xr3:uid="{00000000-0010-0000-0000-000018000000}" name="Quien Revisa " dataDxfId="36"/>
    <tableColumn id="9" xr3:uid="{00000000-0010-0000-0000-000009000000}" name="Quien Aprueba " dataDxfId="35"/>
    <tableColumn id="30" xr3:uid="{00000000-0010-0000-0000-00001E000000}" name="Autoridad que lo RQ" dataDxfId="34"/>
    <tableColumn id="29" xr3:uid="{00000000-0010-0000-0000-00001D000000}" name="Responsable del Éxito_x000a_Process owner" dataDxfId="33"/>
    <tableColumn id="16" xr3:uid="{00000000-0010-0000-0000-000010000000}" name="Fecha de Compromiso_x000a_Deliver Date" dataDxfId="32">
      <calculatedColumnFormula>Tabla1[[#This Row],[Origin Date ]]+3</calculatedColumnFormula>
    </tableColumn>
    <tableColumn id="17" xr3:uid="{00000000-0010-0000-0000-000011000000}" name="Fecha de Entrega_x000a_End Date" dataDxfId="31"/>
    <tableColumn id="18" xr3:uid="{00000000-0010-0000-0000-000012000000}" name="Days late" dataDxfId="30">
      <calculatedColumnFormula>IF((R5=""),"",IF((V5="Cerrada"),(S5-R5),IF((($AA$2-R5)&lt;=0),"-",($AA$2-R5))))</calculatedColumnFormula>
    </tableColumn>
    <tableColumn id="19" xr3:uid="{00000000-0010-0000-0000-000013000000}" name="Prioridad de Acción" dataDxfId="29">
      <calculatedColumnFormula>IF((R5=""),"",IF((V5="Cerrada"),"Realizada a Tiempo",IF(OR((($AB$2-R5)=0),(($AB$2-R5)=-1),(($AB$2-R5)=-2),(($AB$2-R5)=-3)),"Tiempo Límite",IF((T5="&gt;9"),"En Proceso","Atrasada"))))</calculatedColumnFormula>
    </tableColumn>
    <tableColumn id="20" xr3:uid="{00000000-0010-0000-0000-000014000000}" name="Condición Actual " dataDxfId="28">
      <calculatedColumnFormula>IF((#REF!=""),"",IF((S5=""),"Abierta","Cerrada"))</calculatedColumnFormula>
    </tableColumn>
    <tableColumn id="21" xr3:uid="{00000000-0010-0000-0000-000015000000}" name="% Avance" dataDxfId="27"/>
    <tableColumn id="22" xr3:uid="{00000000-0010-0000-0000-000016000000}" name="Producto Entregable" dataDxfId="26">
      <calculatedColumnFormula>CONCATENATE(#REF!,"-",#REF!,"-",#REF!,"-",#REF!)</calculatedColumnFormula>
    </tableColumn>
    <tableColumn id="5" xr3:uid="{00000000-0010-0000-0000-000005000000}" name="Medio de Control " dataDxfId="25"/>
    <tableColumn id="2" xr3:uid="{00000000-0010-0000-0000-000002000000}" name="Frecuencia de Control  en días" dataDxfId="24"/>
    <tableColumn id="23" xr3:uid="{00000000-0010-0000-0000-000017000000}" name="Control de Resultados " dataDxfId="23"/>
    <tableColumn id="43" xr3:uid="{00000000-0010-0000-0000-00002B000000}" name="Próxima Validación " dataDxfId="22">
      <calculatedColumnFormula>Tabla1[[#This Row],[Fecha de Entrega
End Date]]+$Z5</calculatedColumnFormula>
    </tableColumn>
    <tableColumn id="42" xr3:uid="{00000000-0010-0000-0000-00002A000000}" name="Evidencia del Control " dataDxfId="21">
      <calculatedColumnFormula>Tabla1[[#This Row],[Fecha de Entrega
End Date]]+$Z5</calculatedColumnFormula>
    </tableColumn>
    <tableColumn id="3" xr3:uid="{00000000-0010-0000-0000-000003000000}" name="Status" dataDxfId="20"/>
    <tableColumn id="26" xr3:uid="{00000000-0010-0000-0000-00001A000000}" name="Observaciones Sugerida " dataDxfId="19"/>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6" Type="http://schemas.openxmlformats.org/officeDocument/2006/relationships/hyperlink" Target="../Users/Jhanp/AppData/Local/Microsoft/Windows/INetCache/IE/ACD_04_FO_FORMATOS/FO-ACD-DSI-GG-24_FICHA%20T&#201;CNICA%20DE%20EVALUACI&#211;N%20DE%20LA%205S.xlsx" TargetMode="External"/><Relationship Id="rId21" Type="http://schemas.openxmlformats.org/officeDocument/2006/relationships/hyperlink" Target="https://docs.google.com/forms/d/e/1FAIpQLSeJy4RkxO8D-21WJFih22SaWSEeMAt6ZseEhojxwC6pPn_2aA/viewform?usp=header" TargetMode="External"/><Relationship Id="rId42" Type="http://schemas.openxmlformats.org/officeDocument/2006/relationships/hyperlink" Target="../Users/Jhanp/AppData/Local/Microsoft/Windows/INetCache/IE/ACD_09_OTROS/ACD_INFORMES/2025_INFORMES/INFORME%20N&#176;%20012%20-%20INSPECCI&#211;N%20CEDI%20106%20TARAPACA.pdf" TargetMode="External"/><Relationship Id="rId47" Type="http://schemas.openxmlformats.org/officeDocument/2006/relationships/hyperlink" Target="../Users/Jhanp/AppData/Local/Microsoft/Windows/INetCache/IE/ACD_09_OTROS/ACD_REQUERIMIENTOS/RQ-100-003-Materiales%20de%20Limpieza.xlsx" TargetMode="External"/><Relationship Id="rId63" Type="http://schemas.openxmlformats.org/officeDocument/2006/relationships/hyperlink" Target="../Users/Jhanp/AppData/Local/Microsoft/Windows/INetCache/IE/ACD_09_OTROS/ACD_LNC%20CEDIS/RE-ACD-DSI-GG-15%20LNC-UTM%202025-V1_TARAPACA.xlsx" TargetMode="External"/><Relationship Id="rId68" Type="http://schemas.openxmlformats.org/officeDocument/2006/relationships/hyperlink" Target="../Users/Jhanp/AppData/Local/Microsoft/Windows/INetCache/IE/ACD_09_OTROS/ACD_LNC%20CEDIS/RE-ACD-DSI-GG-15%20LNC-UTM%202025-V1%20UN%20HU&#193;NUCO.xlsx" TargetMode="External"/><Relationship Id="rId84" Type="http://schemas.openxmlformats.org/officeDocument/2006/relationships/printerSettings" Target="../printerSettings/printerSettings2.bin"/><Relationship Id="rId16" Type="http://schemas.openxmlformats.org/officeDocument/2006/relationships/hyperlink" Target="../Users/Jhanp/AppData/Local/Microsoft/Windows/INetCache/IE/C)%20DDA-BPM-2024/ATH-BPM-2024/SG-ADM/ATH_05_RE_REGISTRSO/RE-ATH-DDA-GG-03_04_05_06_FICHA%20DE%20INGRESO%20DE%20PERSONAL%202025%20COMPLETO.xlsx" TargetMode="External"/><Relationship Id="rId11" Type="http://schemas.openxmlformats.org/officeDocument/2006/relationships/hyperlink" Target="../Users/Jhanp/AppData/Local/Microsoft/Windows/INetCache/IE/C)%20DDA-BPM-2024/ATH-BPM-2024/SG-ADM/ATH_02_PR_PROCEDIMIENTOS/PR-ATH-DDA-GG-10%20Control%20de%20Asistencia%2020ENE25.pdf" TargetMode="External"/><Relationship Id="rId32" Type="http://schemas.openxmlformats.org/officeDocument/2006/relationships/hyperlink" Target="../Users/Jhanp/AppData/Local/Microsoft/Windows/INetCache/IE/ACD_09_OTROS/ACD_PC/PC%20INSPECCIONES%20CEDIS/PC%20INSPECCIONES%20%20DE%20CEDI&#180;S-ACD-MAYO.xlsx" TargetMode="External"/><Relationship Id="rId37" Type="http://schemas.openxmlformats.org/officeDocument/2006/relationships/hyperlink" Target="../Users/Jhanp/AppData/Local/Microsoft/Windows/INetCache/IE/ACD_09_OTROS/ACD_INFORMES/2025_INFORMES/INFORME%20N&#176;%20011-25-ACD-DSI-UTM.pdf" TargetMode="External"/><Relationship Id="rId53" Type="http://schemas.openxmlformats.org/officeDocument/2006/relationships/hyperlink" Target="../Users/Jhanp/AppData/Local/Microsoft/Windows/INetCache/IE/ACD_09_OTROS/ACD_INFORMES/2025_INFORMES/INFORME%20N&#176;%20017%20-%20INSPECCI&#211;N%20CEDI%20107%20LORENTE.pdf" TargetMode="External"/><Relationship Id="rId58" Type="http://schemas.openxmlformats.org/officeDocument/2006/relationships/hyperlink" Target="../Users/Jhanp/AppData/Local/Microsoft/Windows/INetCache/IE/ACD_09_OTROS/ACD_MATERIAL%20INDUCCI&#211;N/CEDI%20SA&#209;OS2025%20GESTI&#211;N%20COMERCIAL%20-%20CAPACITACI&#211;N%202.pptx" TargetMode="External"/><Relationship Id="rId74" Type="http://schemas.openxmlformats.org/officeDocument/2006/relationships/hyperlink" Target="../Users/Jhanp/AppData/Local/Microsoft/Windows/INetCache/IE/C)%20DDA-BPM-2024/ACF-BPM-2024/SG-ADM/ACF_06_ES_ESTANDAR/ES-ACF-DDA-GG-03%20_%20Acta%20de%20Ajuste%20de%20Inventario.docx" TargetMode="External"/><Relationship Id="rId79" Type="http://schemas.openxmlformats.org/officeDocument/2006/relationships/hyperlink" Target="../Users/Jhanp/AppData/Local/Microsoft/Windows/INetCache/IE/ACD_09_OTROS/ACD_PC/PC%20INSPECCIONES%20CEDIS/PC%20INSPECCIONES%20DE%20CEDI&#180;S%20-%20ACD-JULIO.pdf" TargetMode="External"/><Relationship Id="rId5" Type="http://schemas.openxmlformats.org/officeDocument/2006/relationships/hyperlink" Target="../Users/Jhanp/AppData/Local/Microsoft/Windows/INetCache/IE/Users/Calidad/AppData/Roaming/HP/D)%20DSI-BPM-2024/ACD-BPM-2024/SG-ADM/JERARQU&#205;A%20DE%20DOCUMENTOS_2025/MA_2025/MA%20-%20RIT%20%20ATH%20UTM%202025.pdf" TargetMode="External"/><Relationship Id="rId19" Type="http://schemas.openxmlformats.org/officeDocument/2006/relationships/hyperlink" Target="../Users/Jhanp/AppData/Local/Microsoft/Windows/INetCache/IE/Users/Calidad/AppData/INFORMES%20_%202025/INFORME%20N&#176;%20006-25-ACD-DSI-UTM%2031MAR25_CAPACITACI&#211;N.pdf" TargetMode="External"/><Relationship Id="rId14" Type="http://schemas.openxmlformats.org/officeDocument/2006/relationships/hyperlink" Target="../Users/Jhanp/AppData/Local/Microsoft/Windows/INetCache/IE/C)%20DDA-BPM-2024/ATH-BPM-2024/SG-ADM/ATH_02_PR_PROCEDIMIENTOS/PR-ATH-DDA-GG-01_%20Reclutamiento%20y%20Selecci&#243;n%20ATH-UTM%202025.pdf" TargetMode="External"/><Relationship Id="rId22" Type="http://schemas.openxmlformats.org/officeDocument/2006/relationships/hyperlink" Target="../Users/Jhanp/AppData/Local/Microsoft/Windows/INetCache/IE/Users/Calidad/Pictures/Gesti&#243;n%20ACD_2025/b6ba6d6d-d9de-48d6-83d9-1ebbf524964a.jfif" TargetMode="External"/><Relationship Id="rId27" Type="http://schemas.openxmlformats.org/officeDocument/2006/relationships/hyperlink" Target="../Users/Jhanp/AppData/Local/Microsoft/Windows/INetCache/IE/ACD_04_FO_FORMATOS/FO-ACD-DSI-GG-24_FICHA%20T&#201;CNICA%20DE%20EVALUACI&#211;N%20DE%20LA%205S.xlsx" TargetMode="External"/><Relationship Id="rId30" Type="http://schemas.openxmlformats.org/officeDocument/2006/relationships/hyperlink" Target="https://docs.google.com/spreadsheets/d/1uZiTOal6XPfB0RvHBn4bZdvY4rmgQtXX/edit?usp=sharing&amp;ouid=103320021900326815210&amp;rtpof=true&amp;sd=true" TargetMode="External"/><Relationship Id="rId35" Type="http://schemas.openxmlformats.org/officeDocument/2006/relationships/hyperlink" Target="https://docs.google.com/forms/d/e/1FAIpQLSeeIJ0UN6428hxZGH_M09dLck8DOkGjzNCfSX2VZrULTp3cSw/viewform?usp=header" TargetMode="External"/><Relationship Id="rId43" Type="http://schemas.openxmlformats.org/officeDocument/2006/relationships/hyperlink" Target="../Users/Jhanp/AppData/Local/Microsoft/Windows/INetCache/IE/ACD_09_OTROS/ACD_INFORMES/2025_INFORMES/INFORME%20N&#176;%20013%20-%20INSPECCI&#211;N%20CEDI%20103%20CHILCA.pdf" TargetMode="External"/><Relationship Id="rId48" Type="http://schemas.openxmlformats.org/officeDocument/2006/relationships/hyperlink" Target="https://www.canva.com/design/DAGoNdiwXgg/R_r7uKMnxU-MwwXoYTSV6g/edit?utm_content=DAGoNdiwXgg&amp;utm_campaign=designshare&amp;utm_medium=link2&amp;utm_source=sharebutton" TargetMode="External"/><Relationship Id="rId56" Type="http://schemas.openxmlformats.org/officeDocument/2006/relationships/hyperlink" Target="../Users/Jhanp/AppData/Local/Microsoft/Windows/INetCache/IE/ACD_09_OTROS/ACD_INFORMES/2025_INFORMES/INFORME%20N&#176;%20019%20-%20INSPECCI&#211;N%20CEDI%20300%20AYACUCHO.pdf" TargetMode="External"/><Relationship Id="rId64" Type="http://schemas.openxmlformats.org/officeDocument/2006/relationships/hyperlink" Target="../Users/Jhanp/AppData/Local/Microsoft/Windows/INetCache/IE/ACD_09_OTROS/ACD_LNC%20CEDIS/RE-ACD-DSI-GG-15%20LNC-%20UTM%202025-V1%20CEDI%20LORENTE.xlsx" TargetMode="External"/><Relationship Id="rId69" Type="http://schemas.openxmlformats.org/officeDocument/2006/relationships/hyperlink" Target="https://drive.google.com/drive/folders/1_2JysM9-l6_dFOjInDLZXeWZksu9l6HK?usp=sharing" TargetMode="External"/><Relationship Id="rId77" Type="http://schemas.openxmlformats.org/officeDocument/2006/relationships/hyperlink" Target="../Users/Jhanp/AppData/Local/Microsoft/Windows/INetCache/IE/ACD_09_OTROS/ACD_INFORMES/2025_INFORMES/INFORME%20N&#176;%20035%20-%20INSPECCI&#211;N%20CEDI%20400%20HUANUCO%2018JULIO.pdf" TargetMode="External"/><Relationship Id="rId8" Type="http://schemas.openxmlformats.org/officeDocument/2006/relationships/hyperlink" Target="https://forms.gle/hvHraVyQRDLrSCga8" TargetMode="External"/><Relationship Id="rId51" Type="http://schemas.openxmlformats.org/officeDocument/2006/relationships/hyperlink" Target="../Users/Jhanp/AppData/Local/Microsoft/Windows/INetCache/IE/ACD_09_OTROS/ACD_INFORMES/2025_INFORMES/INFORME%20N&#176;%20015%20-%20INSPECCI&#211;N%20CEDI%20105%20ALMACEN%20CENTRAL.pdf" TargetMode="External"/><Relationship Id="rId72" Type="http://schemas.openxmlformats.org/officeDocument/2006/relationships/hyperlink" Target="../Users/Jhanp/AppData/Local/Microsoft/Windows/INetCache/IE/ACD_09_OTROS/ACD_PC/PC%20LIMPIEZA%20PASADIZOS%20Y%20BA&#209;OS/PC%20002-ADM-AGOSTO_LIMPIEZA%20PASADIZOS%20Y%20BA&#209;OS.xlsx" TargetMode="External"/><Relationship Id="rId80" Type="http://schemas.openxmlformats.org/officeDocument/2006/relationships/hyperlink" Target="../Users/Jhanp/AppData/Local/Microsoft/Windows/INetCache/IE/E)%20DDC-BPM-2024/AVA-BPM-2024/SG-BPM/AVA%20Anexo%208%20Diagrama%20de%20Flujo/AVA%20Anexo%208%20Diagrama%20de%20Flujo%20V3.xlsx" TargetMode="External"/><Relationship Id="rId85" Type="http://schemas.openxmlformats.org/officeDocument/2006/relationships/drawing" Target="../drawings/drawing2.xml"/><Relationship Id="rId3" Type="http://schemas.openxmlformats.org/officeDocument/2006/relationships/hyperlink" Target="../Users/Jhanp/AppData/Local/Microsoft/Windows/INetCache/IE/Users/Calidad/AppData/Roaming/HP/D)%20DSI-BPM-2024/ACD-BPM-2024/SG-ADM/GERARQU&#205;A%20DE%20DOCUMENTOS_2025/RE_2025/RE%20Autorizaci&#243;n%20de%20Salida%20%20ATH-UTM.pdf" TargetMode="External"/><Relationship Id="rId12" Type="http://schemas.openxmlformats.org/officeDocument/2006/relationships/hyperlink" Target="../Users/Jhanp/AppData/Local/Microsoft/Windows/INetCache/IE/C)%20DDA-BPM-2024/ATH-BPM-2024/SG-ADM/ATH_02_PR_PROCEDIMIENTOS/PR-ATH-DDA-GG-07_Control%20y%20Movimientos%20de%20Personal%20ATH-UTM.pdf" TargetMode="External"/><Relationship Id="rId17" Type="http://schemas.openxmlformats.org/officeDocument/2006/relationships/hyperlink" Target="../Users/Jhanp/AppData/Local/Microsoft/Windows/INetCache/IE/C)%20DDA-BPM-2024/ATH-BPM-2024/SG-ADM/ATH_02_PR_PROCEDIMIENTOS/PR-ATH-DDA-GG-06%20Inducci&#243;n%20Laboral%20y%20Bienvenida.pdf" TargetMode="External"/><Relationship Id="rId25" Type="http://schemas.openxmlformats.org/officeDocument/2006/relationships/hyperlink" Target="../Users/Jhanp/AppData/Local/Microsoft/Windows/INetCache/IE/Users/Calidad/AppData/Roaming/ES_2025/ES-ACD-2025/ES-ACD-DSI-GG-19_DIAGN&#211;STICO%20SITUACIONAL.docx" TargetMode="External"/><Relationship Id="rId33" Type="http://schemas.openxmlformats.org/officeDocument/2006/relationships/hyperlink" Target="../Users/Jhanp/AppData/Local/Microsoft/Windows/INetCache/IE/3IQLJ6A9/RE-ACD-DSI-GG-11_%20Briefing%20Diario%20UTM%202025.xlsx" TargetMode="External"/><Relationship Id="rId38" Type="http://schemas.openxmlformats.org/officeDocument/2006/relationships/hyperlink" Target="https://docs.google.com/spreadsheets/d/1uZiTOal6XPfB0RvHBn4bZdvY4rmgQtXX/edit?usp=sharing&amp;ouid=103320021900326815210&amp;rtpof=true&amp;sd=true" TargetMode="External"/><Relationship Id="rId46" Type="http://schemas.openxmlformats.org/officeDocument/2006/relationships/hyperlink" Target="../Users/Jhanp/AppData/Local/Microsoft/Windows/INetCache/IE/ACD_09_OTROS/ACD_PC/PC%20INSPECCIONES%20CEDIS/PC%20INSPECCIONES%20%20DE%20CEDI&#180;S-ACD-JUNIO.pdf" TargetMode="External"/><Relationship Id="rId59" Type="http://schemas.openxmlformats.org/officeDocument/2006/relationships/hyperlink" Target="../Users/Jhanp/AppData/Local/Microsoft/Windows/INetCache/IE/3IQLJ6A9/RE-ACD-DSI-GG-15%20LNC-UTM%202025-V1_Levantamiento%20de%20No%20Conformidades.xlsx" TargetMode="External"/><Relationship Id="rId67" Type="http://schemas.openxmlformats.org/officeDocument/2006/relationships/hyperlink" Target="../Users/Jhanp/AppData/Local/Microsoft/Windows/INetCache/IE/ACD_09_OTROS/ACD_LNC%20CEDIS/RE-ACD-DSI-GG-15%20LNC-UTM%202025-V1%20UN%20AYACUCHO%20ARENALES.xlsx" TargetMode="External"/><Relationship Id="rId20" Type="http://schemas.openxmlformats.org/officeDocument/2006/relationships/hyperlink" Target="https://docs.google.com/forms/d/e/1FAIpQLSd05FNGkoiNoztKvQQ5BpltJDWQpEvilCtoLqTL-c4_zMOCWA/viewform?usp=dialog" TargetMode="External"/><Relationship Id="rId41" Type="http://schemas.openxmlformats.org/officeDocument/2006/relationships/hyperlink" Target="../Users/Jhanp/AppData/Local/Microsoft/Windows/INetCache/IE/ACD_09_OTROS/ACD_PC/PC%20INSPECCIONES%20CEDIS/PC%20INSPECCIONES%20%20DE%20CEDI&#180;S-ACD-JUNIO.pdf" TargetMode="External"/><Relationship Id="rId54" Type="http://schemas.openxmlformats.org/officeDocument/2006/relationships/hyperlink" Target="../Users/Jhanp/AppData/Local/Microsoft/Windows/INetCache/IE/ASS-BPM-2024/SG-ADM/ASS_06_ES_ESTANDAR/ES-ASS-DSI-GG-04_Pol&#237;tica%20Control%20de%20Accesos%20Clientes.pdf" TargetMode="External"/><Relationship Id="rId62" Type="http://schemas.openxmlformats.org/officeDocument/2006/relationships/hyperlink" Target="../Users/Jhanp/AppData/Local/Microsoft/Windows/INetCache/IE/DELL/Documents/CEDI%20SA&#209;OS2025%20GESTI&#211;N%20COMERCIAL%20-%20CAPACITACI&#211;N.pptx" TargetMode="External"/><Relationship Id="rId70" Type="http://schemas.openxmlformats.org/officeDocument/2006/relationships/hyperlink" Target="../Users/Jhanp/AppData/Local/Microsoft/Windows/INetCache/IE/ACD_04_FO_FORMATOS/FO-ACD-DSI-GG-24_FICHA%20T&#201;CNICA%20DE%20EVALUACI&#211;N%20DE%20LA%205S.xlsx" TargetMode="External"/><Relationship Id="rId75" Type="http://schemas.openxmlformats.org/officeDocument/2006/relationships/hyperlink" Target="../Users/Jhanp/AppData/Local/Microsoft/Windows/INetCache/IE/ACD_09_OTROS/ACD_INFORMES/2025_INFORMES/INFORME%20N&#176;%20037-%20INSPECCI&#211;N%20CEDI%20600%20AYACUCHO%20ARENAlES%2019JULIO.pdf" TargetMode="External"/><Relationship Id="rId83" Type="http://schemas.openxmlformats.org/officeDocument/2006/relationships/hyperlink" Target="../Users/Jhanp/AppData/Local/Microsoft/Windows/INetCache/IE/ACD_09_OTROS/ACD_CARTELES%20INFORMATIVOS/ACD-005_GESTI&#211;N%20DEL%20PUNTO%20LIMPIO.pdf" TargetMode="External"/><Relationship Id="rId1" Type="http://schemas.openxmlformats.org/officeDocument/2006/relationships/hyperlink" Target="../Users/Jhanp/AppData/Local/Microsoft/Windows/INetCache/IE/Users/Calidad/AppData/Roaming/HP/C)%20DDA-BPM-2024/ATH-BPM-2024/SG-BPM/ATH%20Anexo%208%20Diagrama%20de%20Flujo/8.15.%20PR%20de%20Papeleta%20de%20Salida%20UTM%20V1.jpeg" TargetMode="External"/><Relationship Id="rId6" Type="http://schemas.openxmlformats.org/officeDocument/2006/relationships/hyperlink" Target="../Users/Jhanp/AppData/Local/Microsoft/Windows/INetCache/IE/Users/Calidad/AppData/Roaming/User/Pictures/Gestipon%20ATH-2025/WhatsApp%20Image%202025-03-12%20at%209.05.07%20AM.jpeg" TargetMode="External"/><Relationship Id="rId15" Type="http://schemas.openxmlformats.org/officeDocument/2006/relationships/hyperlink" Target="../Users/Jhanp/AppData/Local/Microsoft/Windows/INetCache/IE/C)%20DDA-BPM-2024/ATH-BPM-2024/SG-ADM/ATH_03_IN_INSTRUCTIVOS/IN-ATH-DDA-GG-01_Gesti&#243;n%20de%20Entrevesistas.pdf" TargetMode="External"/><Relationship Id="rId23" Type="http://schemas.openxmlformats.org/officeDocument/2006/relationships/hyperlink" Target="../Users/Jhanp/AppData/Local/Microsoft/Windows/INetCache/IE/Users/Calidad/AppData/ACD_06_ES_ESTANDAR/ES-ACD-DSI-GG-17_Proceso%20de%20Mejora%20Continua%205S.pdf" TargetMode="External"/><Relationship Id="rId28" Type="http://schemas.openxmlformats.org/officeDocument/2006/relationships/hyperlink" Target="../Users/Jhanp/AppData/Local/Microsoft/Windows/INetCache/IE/ACD_04_FO_FORMATOS/FO-ACD-DSI-GG-24_FICHA%20T&#201;CNICA%20DE%20EVALUACI&#211;N%20DE%20LA%205S.xlsx" TargetMode="External"/><Relationship Id="rId36" Type="http://schemas.openxmlformats.org/officeDocument/2006/relationships/hyperlink" Target="https://www.canva.com/design/DAGpU0iNzyY/qAjdRLkS7FinDFCxk0UsPw/edit?utm_content=DAGpU0iNzyY&amp;utm_campaign=designshare&amp;utm_medium=link2&amp;utm_source=sharebutton" TargetMode="External"/><Relationship Id="rId49" Type="http://schemas.openxmlformats.org/officeDocument/2006/relationships/hyperlink" Target="https://docs.google.com/spreadsheets/d/1uZiTOal6XPfB0RvHBn4bZdvY4rmgQtXX/edit?usp=sharing&amp;ouid=103320021900326815210&amp;rtpof=true&amp;sd=true" TargetMode="External"/><Relationship Id="rId57" Type="http://schemas.openxmlformats.org/officeDocument/2006/relationships/hyperlink" Target="../Users/Jhanp/AppData/Local/Microsoft/Windows/INetCache/IE/ACD_09_OTROS/ACD_MATERIAL%20INDUCCI&#211;N/Inducci&#243;n%20Laboral%20Estaci&#243;n%20ACD%20UTM-2025%20(1).pptx" TargetMode="External"/><Relationship Id="rId10" Type="http://schemas.openxmlformats.org/officeDocument/2006/relationships/hyperlink" Target="../Users/Jhanp/AppData/Local/Microsoft/Windows/INetCache/IE/Users/Calidad/AppData/Roaming/PR_2025/PR-ATH-2025/PR-ATH-DDA-GG-11_Gesti&#243;n%20de%20Horas%20Extras.pdf" TargetMode="External"/><Relationship Id="rId31" Type="http://schemas.openxmlformats.org/officeDocument/2006/relationships/hyperlink" Target="../Users/Jhanp/AppData/Local/Microsoft/Windows/INetCache/IE/ACD_04_FO_FORMATOS/FO-ACD-DSI-GG-24_FICHA%20T&#201;CNICA%20DE%20EVALUACI&#211;N%20DE%20LA%205S.xlsx" TargetMode="External"/><Relationship Id="rId44" Type="http://schemas.openxmlformats.org/officeDocument/2006/relationships/hyperlink" Target="../Users/Jhanp/AppData/Local/Microsoft/Windows/INetCache/IE/ACD_09_OTROS/ACD_PC/PC%20INSPECCIONES%20CEDIS/PC%20INSPECCIONES%20%20DE%20CEDI&#180;S-ACD-JUNIO.pdf" TargetMode="External"/><Relationship Id="rId52" Type="http://schemas.openxmlformats.org/officeDocument/2006/relationships/hyperlink" Target="../Users/Jhanp/AppData/Local/Microsoft/Windows/INetCache/IE/ACD_09_OTROS/ACD_INFORMES/2025_INFORMES/INFORME%20N&#176;%20016%20-%20INSPECCI&#211;N%20CEDI%20101%20EL%20TAMBO.pdf" TargetMode="External"/><Relationship Id="rId60" Type="http://schemas.openxmlformats.org/officeDocument/2006/relationships/hyperlink" Target="../Users/Jhanp/AppData/Local/Microsoft/Windows/INetCache/IE/3IQLJ6A9/RE-ACD-DSI-GG-16_Gesti&#243;n%20de%20Actividades%20SVG-NTM-2025.xlsx" TargetMode="External"/><Relationship Id="rId65" Type="http://schemas.openxmlformats.org/officeDocument/2006/relationships/hyperlink" Target="../Users/Jhanp/AppData/Local/Microsoft/Windows/INetCache/IE/ACD_09_OTROS/ACD_LNC%20CEDIS/RE-ACD-DSI-GG-15%20LNC-UTM%202025-V1%20SA&#209;OS.xlsx" TargetMode="External"/><Relationship Id="rId73" Type="http://schemas.openxmlformats.org/officeDocument/2006/relationships/hyperlink" Target="https://docs.google.com/forms/d/e/1FAIpQLScIedK-uQ81YppcTFFqY9280sD1dKkakL2KzQJiI6pQAnwu2w/viewform?usp=header" TargetMode="External"/><Relationship Id="rId78" Type="http://schemas.openxmlformats.org/officeDocument/2006/relationships/hyperlink" Target="../Users/Jhanp/AppData/Local/Microsoft/Windows/INetCache/IE/ACD_09_OTROS/ACD_PC/PC%20INSPECCIONES%20CEDIS/PC%20INSPECCIONES%20DE%20CEDI&#180;S%20-%20ACD-JULIO.pdf" TargetMode="External"/><Relationship Id="rId81" Type="http://schemas.openxmlformats.org/officeDocument/2006/relationships/hyperlink" Target="../Users/Jhanp/AppData/Local/Microsoft/Windows/INetCache/IE/ACD_09_OTROS/ACD_LNC%20CEDIS/RE-ACD-DSI-GG-15%20LNC-%20GENERAL,%20TODAS%20LAS%20CEDIS.xlsx" TargetMode="External"/><Relationship Id="rId86" Type="http://schemas.openxmlformats.org/officeDocument/2006/relationships/table" Target="../tables/table1.xml"/><Relationship Id="rId4" Type="http://schemas.openxmlformats.org/officeDocument/2006/relationships/hyperlink" Target="../Users/Jhanp/AppData/Local/Microsoft/Windows/INetCache/IE/Users/Calidad/AppData/Roaming/HP/D)%20DSI-BPM-2024/ACD-BPM-2024/SG-ADM/GERARQU&#205;A%20DE%20DOCUMENTOS_2025/ES_2025/POLITICA%20DE%20SST%20-%20UTM%202025.pdf" TargetMode="External"/><Relationship Id="rId9" Type="http://schemas.openxmlformats.org/officeDocument/2006/relationships/hyperlink" Target="https://forms.gle/hvHraVyQRDLrSCga8" TargetMode="External"/><Relationship Id="rId13" Type="http://schemas.openxmlformats.org/officeDocument/2006/relationships/hyperlink" Target="../Users/Jhanp/AppData/Local/Microsoft/Windows/INetCache/IE/C)%20DDA-BPM-2024/ATH-BPM-2024/SG-ADM/ATH_02_PR_PROCEDIMIENTOS/PR-ATH-DDA-GG-11_Gesti&#243;n%20de%20Horas%20Extras.pdf" TargetMode="External"/><Relationship Id="rId18" Type="http://schemas.openxmlformats.org/officeDocument/2006/relationships/hyperlink" Target="../Users/Jhanp/AppData/Local/Microsoft/Windows/INetCache/IE/Users/User/Pictures/Gesti&#243;n%20ACD_2025/Estandar%20e%20informe.PNG" TargetMode="External"/><Relationship Id="rId39" Type="http://schemas.openxmlformats.org/officeDocument/2006/relationships/hyperlink" Target="../Users/Jhanp/AppData/Local/Microsoft/Windows/INetCache/IE/Users/Calidad/Pictures/Gesti&#243;n%20ACD_2025/Medidas%20Contenedor.PNG" TargetMode="External"/><Relationship Id="rId34" Type="http://schemas.openxmlformats.org/officeDocument/2006/relationships/hyperlink" Target="../Users/Jhanp/AppData/Local/Microsoft/Windows/INetCache/IE/3IQLJ6A9/RE-ACD-DSI-GG-12_%20Programa%20y%20Cronograma%20de%20Limpieza.xlsx" TargetMode="External"/><Relationship Id="rId50" Type="http://schemas.openxmlformats.org/officeDocument/2006/relationships/hyperlink" Target="../Users/Jhanp/AppData/Local/Microsoft/Windows/INetCache/IE/ACD_09_OTROS/ACD_PC/PC%20LIMPIEZA%20PASADIZOS%20Y%20BA&#209;OS/PC%20001-ADM-JUNIO_%20APRO.%20LIMPIEZA%20PASADIZOS%20Y%20ZONAS%20COMUNES.pdf" TargetMode="External"/><Relationship Id="rId55" Type="http://schemas.openxmlformats.org/officeDocument/2006/relationships/hyperlink" Target="../Users/Jhanp/AppData/Local/Microsoft/Windows/INetCache/IE/C)%20DDA-BPM-2024/ATH-BPM-2024/SG-ADM/ATH_05_RE_REGISTRSO/RE-ATH-DDA-GG-08_%20Conformidad%20de%20Productividad.xlsx" TargetMode="External"/><Relationship Id="rId76" Type="http://schemas.openxmlformats.org/officeDocument/2006/relationships/hyperlink" Target="../Users/Jhanp/AppData/Local/Microsoft/Windows/INetCache/IE/ACD_09_OTROS/ACD_PC/PC%20INSPECCIONES%20CEDIS/PC%20INSPECCIONES%20DE%20CEDI&#180;S%20-%20ACD-JULIO.pdf" TargetMode="External"/><Relationship Id="rId7" Type="http://schemas.openxmlformats.org/officeDocument/2006/relationships/hyperlink" Target="../Users/Jhanp/AppData/Local/Microsoft/Windows/INetCache/IE/C)%20DDA-BPM-2024/ATH-BPM-2024/SG-BPM/ATH%20Anexo%208%20Diagrama%20de%20Flujo/8.17.%20GESTI&#211;N%20DE%20HORAS%20EXTRAS.pdf" TargetMode="External"/><Relationship Id="rId71" Type="http://schemas.openxmlformats.org/officeDocument/2006/relationships/hyperlink" Target="../Users/Jhanp/AppData/Local/Microsoft/Windows/INetCache/IE/ACD_09_OTROS/ACD_PC/PC%20LIMPIEZA%20PASADIZOS%20Y%20BA&#209;OS/PC%20002-ADM-AGOSTO_LIMPIEZA%20PASADIZOS%20Y%20BA&#209;OS.xlsx" TargetMode="External"/><Relationship Id="rId2" Type="http://schemas.openxmlformats.org/officeDocument/2006/relationships/hyperlink" Target="../Users/Jhanp/AppData/Local/Microsoft/Windows/INetCache/IE/Users/Calidad/AppData/Roaming/HP/D)%20DSI-BPM-2024/ACD-BPM-2024/SG-ADM/GERARQU&#205;A%20DE%20DOCUMENTOS_2025/PR_2025/PR-Gesti&#243;n%20y%20Adm%20Dcoumentaria%20de%20SST%20UTM%202025.pdf" TargetMode="External"/><Relationship Id="rId29" Type="http://schemas.openxmlformats.org/officeDocument/2006/relationships/hyperlink" Target="../Users/Jhanp/AppData/Local/Microsoft/Windows/INetCache/IE/ACD_09_OTROS/ACD_PC/PC%20INSPECCIONES%20%20DE%20CEDI&#180;S-ACD-03.pdf" TargetMode="External"/><Relationship Id="rId24" Type="http://schemas.openxmlformats.org/officeDocument/2006/relationships/hyperlink" Target="../Users/Jhanp/AppData/Local/Microsoft/Windows/INetCache/IE/Users/Calidad/AppData/ACD_09_OTROS/ACD_PROYECTOS/Arquitectura%20B&#225;sica%20del%20SG%20de%20Control%20Documentario%20%20AST-UTM%20%20.pdf" TargetMode="External"/><Relationship Id="rId40" Type="http://schemas.openxmlformats.org/officeDocument/2006/relationships/hyperlink" Target="../Users/Jhanp/AppData/Local/Microsoft/Windows/INetCache/IE/3IQLJ6A9/RE-ACD-DSI-GG-13_%20Inspecci&#243;n%20de%20metodolog&#237;a%205BESC.docx" TargetMode="External"/><Relationship Id="rId45" Type="http://schemas.openxmlformats.org/officeDocument/2006/relationships/hyperlink" Target="../Users/Jhanp/AppData/Local/Microsoft/Windows/INetCache/IE/ACD_09_OTROS/ACD_PC/PC%20INSPECCIONES%20CEDIS/PC%20INSPECCIONES%20%20DE%20CEDI&#180;S-ACD-JUNIO.pdf" TargetMode="External"/><Relationship Id="rId66" Type="http://schemas.openxmlformats.org/officeDocument/2006/relationships/hyperlink" Target="../Users/Jhanp/AppData/Local/Microsoft/Windows/INetCache/IE/ACD_09_OTROS/ACD_LNC%20CEDIS/RE-ACD-DSI-GG-15%20LNC-UTM%202025-V1%20SA&#209;OS.xlsx" TargetMode="External"/><Relationship Id="rId61" Type="http://schemas.openxmlformats.org/officeDocument/2006/relationships/hyperlink" Target="../Users/Jhanp/AppData/Local/Microsoft/Windows/INetCache/IE/ASS-BPM-2024/SG-ADM/ASS_06_ES_ESTANDAR/ES-ASS-DSI-GG-2_%20Objetivo%20NUSAC%20de%20SST%202025-1%20(3).pdf" TargetMode="External"/><Relationship Id="rId82" Type="http://schemas.openxmlformats.org/officeDocument/2006/relationships/hyperlink" Target="https://www.canva.com/design/DAGoNdiwXgg/R_r7uKMnxU-MwwXoYTSV6g/edit?utm_content=DAGoNdiwXgg&amp;utm_campaign=designshare&amp;utm_medium=link2&amp;utm_source=sharebutt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1"/>
  <dimension ref="B2:Z77"/>
  <sheetViews>
    <sheetView showGridLines="0" zoomScale="80" zoomScaleNormal="80" workbookViewId="0">
      <selection activeCell="L19" sqref="L19"/>
    </sheetView>
  </sheetViews>
  <sheetFormatPr baseColWidth="10" defaultRowHeight="14.4" x14ac:dyDescent="0.3"/>
  <cols>
    <col min="4" max="4" width="15.88671875" customWidth="1"/>
    <col min="5" max="12" width="10.6640625" customWidth="1"/>
    <col min="13" max="13" width="15.6640625" customWidth="1"/>
    <col min="14" max="14" width="14.109375" customWidth="1"/>
    <col min="15" max="15" width="18.44140625" customWidth="1"/>
    <col min="16" max="20" width="16.109375" customWidth="1"/>
    <col min="21" max="21" width="12.33203125" customWidth="1"/>
    <col min="22" max="22" width="15.5546875" customWidth="1"/>
    <col min="26" max="26" width="29.88671875" bestFit="1" customWidth="1"/>
  </cols>
  <sheetData>
    <row r="2" spans="2:26" ht="50.1" customHeight="1" x14ac:dyDescent="0.3">
      <c r="B2" s="185" t="s">
        <v>201</v>
      </c>
      <c r="C2" s="185" t="s">
        <v>41</v>
      </c>
      <c r="D2" s="185" t="s">
        <v>7</v>
      </c>
      <c r="E2" s="185" t="s">
        <v>17</v>
      </c>
      <c r="F2" s="185" t="s">
        <v>108</v>
      </c>
      <c r="G2" s="185" t="s">
        <v>114</v>
      </c>
      <c r="H2" s="185" t="s">
        <v>122</v>
      </c>
      <c r="I2" s="185" t="s">
        <v>129</v>
      </c>
      <c r="J2" s="185" t="s">
        <v>145</v>
      </c>
      <c r="K2" s="185" t="s">
        <v>153</v>
      </c>
      <c r="L2" s="185" t="s">
        <v>64</v>
      </c>
      <c r="M2" s="185" t="s">
        <v>12</v>
      </c>
      <c r="N2" s="185" t="s">
        <v>15</v>
      </c>
      <c r="O2" s="185" t="s">
        <v>4</v>
      </c>
      <c r="P2" s="185" t="s">
        <v>69</v>
      </c>
      <c r="Q2" s="185" t="s">
        <v>184</v>
      </c>
      <c r="R2" s="185" t="s">
        <v>43</v>
      </c>
      <c r="S2" s="185" t="s">
        <v>75</v>
      </c>
      <c r="T2" s="185" t="s">
        <v>81</v>
      </c>
      <c r="U2" s="185" t="s">
        <v>53</v>
      </c>
      <c r="V2" s="185" t="s">
        <v>191</v>
      </c>
      <c r="W2" s="185" t="s">
        <v>192</v>
      </c>
      <c r="X2" s="185" t="s">
        <v>53</v>
      </c>
      <c r="Y2" s="186" t="s">
        <v>237</v>
      </c>
      <c r="Z2" s="187" t="s">
        <v>238</v>
      </c>
    </row>
    <row r="3" spans="2:26" x14ac:dyDescent="0.3">
      <c r="B3" s="14" t="s">
        <v>202</v>
      </c>
      <c r="C3" s="14" t="s">
        <v>24</v>
      </c>
      <c r="D3" s="14" t="s">
        <v>17</v>
      </c>
      <c r="E3" s="14" t="s">
        <v>102</v>
      </c>
      <c r="F3" s="14" t="s">
        <v>110</v>
      </c>
      <c r="G3" s="14" t="s">
        <v>116</v>
      </c>
      <c r="H3" s="14" t="s">
        <v>124</v>
      </c>
      <c r="I3" s="14" t="s">
        <v>132</v>
      </c>
      <c r="J3" s="14" t="s">
        <v>147</v>
      </c>
      <c r="K3" s="14" t="s">
        <v>155</v>
      </c>
      <c r="L3" s="14" t="s">
        <v>57</v>
      </c>
      <c r="M3" s="14" t="s">
        <v>20</v>
      </c>
      <c r="N3" s="14" t="s">
        <v>9</v>
      </c>
      <c r="O3" s="14" t="s">
        <v>400</v>
      </c>
      <c r="P3" s="14" t="s">
        <v>96</v>
      </c>
      <c r="Q3" s="14" t="s">
        <v>209</v>
      </c>
      <c r="R3" s="14" t="s">
        <v>208</v>
      </c>
      <c r="S3" s="14" t="s">
        <v>87</v>
      </c>
      <c r="T3" s="14" t="s">
        <v>94</v>
      </c>
      <c r="U3" s="14" t="s">
        <v>50</v>
      </c>
      <c r="V3" s="14">
        <v>100</v>
      </c>
      <c r="W3" s="14" t="s">
        <v>193</v>
      </c>
      <c r="X3" s="14" t="s">
        <v>194</v>
      </c>
      <c r="Y3" s="14" t="s">
        <v>246</v>
      </c>
      <c r="Z3" s="14" t="s">
        <v>387</v>
      </c>
    </row>
    <row r="4" spans="2:26" ht="20.399999999999999" x14ac:dyDescent="0.3">
      <c r="B4" s="14" t="s">
        <v>203</v>
      </c>
      <c r="C4" s="14" t="s">
        <v>25</v>
      </c>
      <c r="D4" s="14" t="s">
        <v>108</v>
      </c>
      <c r="E4" s="14" t="s">
        <v>104</v>
      </c>
      <c r="F4" s="14" t="s">
        <v>112</v>
      </c>
      <c r="G4" s="14" t="s">
        <v>118</v>
      </c>
      <c r="H4" s="14" t="s">
        <v>125</v>
      </c>
      <c r="I4" s="14" t="s">
        <v>134</v>
      </c>
      <c r="J4" s="14" t="s">
        <v>149</v>
      </c>
      <c r="K4" s="14" t="s">
        <v>221</v>
      </c>
      <c r="L4" s="14" t="s">
        <v>58</v>
      </c>
      <c r="M4" s="14" t="s">
        <v>97</v>
      </c>
      <c r="N4" s="14" t="s">
        <v>8</v>
      </c>
      <c r="O4" s="14" t="s">
        <v>401</v>
      </c>
      <c r="P4" s="14" t="s">
        <v>180</v>
      </c>
      <c r="Q4" s="14" t="s">
        <v>185</v>
      </c>
      <c r="R4" s="14" t="s">
        <v>1197</v>
      </c>
      <c r="S4" s="14" t="s">
        <v>76</v>
      </c>
      <c r="T4" s="14" t="s">
        <v>82</v>
      </c>
      <c r="U4" s="14" t="s">
        <v>51</v>
      </c>
      <c r="V4" s="14">
        <v>101</v>
      </c>
      <c r="W4" s="14" t="s">
        <v>195</v>
      </c>
      <c r="X4" s="14" t="s">
        <v>196</v>
      </c>
      <c r="Y4" s="14" t="s">
        <v>247</v>
      </c>
      <c r="Z4" s="14" t="s">
        <v>6</v>
      </c>
    </row>
    <row r="5" spans="2:26" ht="20.399999999999999" x14ac:dyDescent="0.3">
      <c r="B5" s="14" t="s">
        <v>204</v>
      </c>
      <c r="C5" s="14" t="s">
        <v>26</v>
      </c>
      <c r="D5" s="14" t="s">
        <v>114</v>
      </c>
      <c r="E5" s="14" t="s">
        <v>106</v>
      </c>
      <c r="F5" s="14"/>
      <c r="G5" s="14" t="s">
        <v>120</v>
      </c>
      <c r="H5" s="14" t="s">
        <v>60</v>
      </c>
      <c r="I5" s="14" t="s">
        <v>136</v>
      </c>
      <c r="J5" s="14" t="s">
        <v>151</v>
      </c>
      <c r="K5" s="14" t="s">
        <v>158</v>
      </c>
      <c r="L5" s="14" t="s">
        <v>66</v>
      </c>
      <c r="M5" s="14" t="s">
        <v>13</v>
      </c>
      <c r="N5" s="14" t="s">
        <v>11</v>
      </c>
      <c r="O5" s="14" t="s">
        <v>402</v>
      </c>
      <c r="P5" s="14" t="s">
        <v>181</v>
      </c>
      <c r="Q5" s="14" t="s">
        <v>186</v>
      </c>
      <c r="R5" s="14" t="s">
        <v>1198</v>
      </c>
      <c r="S5" s="14" t="s">
        <v>77</v>
      </c>
      <c r="T5" s="14" t="s">
        <v>83</v>
      </c>
      <c r="U5" s="14" t="s">
        <v>48</v>
      </c>
      <c r="V5" s="14">
        <v>102</v>
      </c>
      <c r="W5" s="14" t="s">
        <v>197</v>
      </c>
      <c r="X5" s="14" t="s">
        <v>198</v>
      </c>
      <c r="Y5" s="14" t="s">
        <v>245</v>
      </c>
      <c r="Z5" s="14" t="s">
        <v>244</v>
      </c>
    </row>
    <row r="6" spans="2:26" x14ac:dyDescent="0.3">
      <c r="B6" s="14" t="s">
        <v>205</v>
      </c>
      <c r="C6" s="14" t="s">
        <v>28</v>
      </c>
      <c r="D6" s="14" t="s">
        <v>122</v>
      </c>
      <c r="E6" s="14" t="s">
        <v>108</v>
      </c>
      <c r="F6" s="14"/>
      <c r="G6" s="14"/>
      <c r="H6" s="14" t="s">
        <v>127</v>
      </c>
      <c r="I6" s="14"/>
      <c r="J6" s="14"/>
      <c r="K6" s="14"/>
      <c r="L6" s="14" t="s">
        <v>88</v>
      </c>
      <c r="M6" s="14" t="s">
        <v>21</v>
      </c>
      <c r="N6" s="14" t="s">
        <v>10</v>
      </c>
      <c r="O6" s="14"/>
      <c r="P6" s="14" t="s">
        <v>182</v>
      </c>
      <c r="Q6" s="14" t="s">
        <v>187</v>
      </c>
      <c r="R6" s="14" t="s">
        <v>99</v>
      </c>
      <c r="S6" s="14" t="s">
        <v>78</v>
      </c>
      <c r="T6" s="14" t="s">
        <v>84</v>
      </c>
      <c r="U6" s="14" t="s">
        <v>49</v>
      </c>
      <c r="V6" s="14">
        <v>103</v>
      </c>
      <c r="W6" s="14" t="s">
        <v>199</v>
      </c>
      <c r="X6" s="14"/>
      <c r="Y6" s="14"/>
      <c r="Z6" s="14" t="s">
        <v>386</v>
      </c>
    </row>
    <row r="7" spans="2:26" ht="20.399999999999999" x14ac:dyDescent="0.3">
      <c r="B7" s="14" t="s">
        <v>206</v>
      </c>
      <c r="C7" s="14" t="s">
        <v>27</v>
      </c>
      <c r="D7" s="14" t="s">
        <v>129</v>
      </c>
      <c r="E7" s="14"/>
      <c r="F7" s="14"/>
      <c r="G7" s="14"/>
      <c r="H7" s="14" t="s">
        <v>1196</v>
      </c>
      <c r="I7" s="14"/>
      <c r="J7" s="14"/>
      <c r="K7" s="14"/>
      <c r="L7" s="14" t="s">
        <v>74</v>
      </c>
      <c r="M7" s="14" t="s">
        <v>22</v>
      </c>
      <c r="N7" s="14" t="s">
        <v>16</v>
      </c>
      <c r="O7" s="14"/>
      <c r="P7" s="14" t="s">
        <v>72</v>
      </c>
      <c r="Q7" s="14" t="s">
        <v>188</v>
      </c>
      <c r="R7" s="14"/>
      <c r="S7" s="14" t="s">
        <v>79</v>
      </c>
      <c r="T7" s="14" t="s">
        <v>85</v>
      </c>
      <c r="U7" s="14" t="s">
        <v>52</v>
      </c>
      <c r="V7" s="14">
        <v>104</v>
      </c>
      <c r="W7" s="14" t="s">
        <v>200</v>
      </c>
      <c r="X7" s="14"/>
      <c r="Y7" s="14"/>
      <c r="Z7" s="14" t="s">
        <v>814</v>
      </c>
    </row>
    <row r="8" spans="2:26" x14ac:dyDescent="0.3">
      <c r="B8" s="14"/>
      <c r="C8" s="14" t="s">
        <v>29</v>
      </c>
      <c r="D8" s="14" t="s">
        <v>145</v>
      </c>
      <c r="E8" s="14"/>
      <c r="F8" s="14"/>
      <c r="G8" s="14"/>
      <c r="H8" s="14"/>
      <c r="I8" s="14"/>
      <c r="J8" s="14"/>
      <c r="K8" s="14"/>
      <c r="L8" s="14" t="s">
        <v>452</v>
      </c>
      <c r="M8" s="14" t="s">
        <v>61</v>
      </c>
      <c r="N8" s="14"/>
      <c r="O8" s="14"/>
      <c r="P8" s="14" t="s">
        <v>71</v>
      </c>
      <c r="Q8" s="14" t="s">
        <v>189</v>
      </c>
      <c r="R8" s="14"/>
      <c r="S8" s="14" t="s">
        <v>80</v>
      </c>
      <c r="T8" s="14" t="s">
        <v>95</v>
      </c>
      <c r="U8" s="14"/>
      <c r="V8" s="14">
        <v>105</v>
      </c>
      <c r="W8" s="14"/>
      <c r="X8" s="14"/>
      <c r="Y8" s="14"/>
      <c r="Z8" s="14" t="s">
        <v>384</v>
      </c>
    </row>
    <row r="9" spans="2:26" x14ac:dyDescent="0.3">
      <c r="B9" s="14"/>
      <c r="C9" s="14" t="s">
        <v>30</v>
      </c>
      <c r="D9" s="14" t="s">
        <v>153</v>
      </c>
      <c r="E9" s="14"/>
      <c r="F9" s="14"/>
      <c r="G9" s="14"/>
      <c r="H9" s="14"/>
      <c r="I9" s="14"/>
      <c r="J9" s="14"/>
      <c r="K9" s="14"/>
      <c r="L9" s="14"/>
      <c r="M9" s="14"/>
      <c r="N9" s="14"/>
      <c r="O9" s="14"/>
      <c r="P9" s="14" t="s">
        <v>183</v>
      </c>
      <c r="Q9" s="14" t="s">
        <v>211</v>
      </c>
      <c r="R9" s="14"/>
      <c r="S9" s="14" t="s">
        <v>91</v>
      </c>
      <c r="T9" s="14" t="s">
        <v>86</v>
      </c>
      <c r="U9" s="14"/>
      <c r="V9" s="14">
        <v>200</v>
      </c>
      <c r="W9" s="14"/>
      <c r="X9" s="14"/>
      <c r="Y9" s="14"/>
      <c r="Z9" s="14" t="s">
        <v>243</v>
      </c>
    </row>
    <row r="10" spans="2:26" x14ac:dyDescent="0.3">
      <c r="B10" s="14"/>
      <c r="C10" s="14" t="s">
        <v>40</v>
      </c>
      <c r="D10" s="14"/>
      <c r="E10" s="14"/>
      <c r="F10" s="14"/>
      <c r="G10" s="14"/>
      <c r="H10" s="14"/>
      <c r="I10" s="14"/>
      <c r="J10" s="14"/>
      <c r="K10" s="14"/>
      <c r="L10" s="14"/>
      <c r="M10" s="14"/>
      <c r="N10" s="14"/>
      <c r="O10" s="14"/>
      <c r="P10" s="14" t="s">
        <v>228</v>
      </c>
      <c r="Q10" s="14" t="s">
        <v>190</v>
      </c>
      <c r="R10" s="14"/>
      <c r="S10" s="14"/>
      <c r="T10" s="14" t="s">
        <v>212</v>
      </c>
      <c r="U10" s="14"/>
      <c r="V10" s="14">
        <v>201</v>
      </c>
      <c r="W10" s="14"/>
      <c r="X10" s="14"/>
      <c r="Y10" s="14"/>
      <c r="Z10" s="14" t="s">
        <v>585</v>
      </c>
    </row>
    <row r="11" spans="2:26" x14ac:dyDescent="0.3">
      <c r="B11" s="14"/>
      <c r="C11" s="14" t="s">
        <v>101</v>
      </c>
      <c r="D11" s="14"/>
      <c r="E11" s="14"/>
      <c r="F11" s="14"/>
      <c r="G11" s="14"/>
      <c r="H11" s="14"/>
      <c r="I11" s="14"/>
      <c r="J11" s="14"/>
      <c r="K11" s="14"/>
      <c r="L11" s="14"/>
      <c r="M11" s="14"/>
      <c r="N11" s="14"/>
      <c r="O11" s="14"/>
      <c r="P11" s="14" t="s">
        <v>93</v>
      </c>
      <c r="Q11" s="14" t="s">
        <v>1199</v>
      </c>
      <c r="R11" s="14"/>
      <c r="S11" s="14"/>
      <c r="T11" s="14"/>
      <c r="U11" s="14"/>
      <c r="V11" s="14">
        <v>202</v>
      </c>
      <c r="W11" s="14"/>
      <c r="X11" s="14"/>
      <c r="Y11" s="14"/>
      <c r="Z11" s="14"/>
    </row>
    <row r="12" spans="2:26" x14ac:dyDescent="0.3">
      <c r="B12" s="14"/>
      <c r="C12" s="14" t="s">
        <v>1200</v>
      </c>
      <c r="D12" s="14"/>
      <c r="E12" s="14"/>
      <c r="F12" s="14"/>
      <c r="G12" s="14"/>
      <c r="H12" s="14"/>
      <c r="I12" s="14"/>
      <c r="J12" s="14"/>
      <c r="K12" s="14"/>
      <c r="L12" s="14"/>
      <c r="M12" s="14"/>
      <c r="N12" s="14"/>
      <c r="O12" s="14"/>
      <c r="P12" s="14" t="s">
        <v>229</v>
      </c>
      <c r="Q12" s="14"/>
      <c r="R12" s="14"/>
      <c r="S12" s="14"/>
      <c r="T12" s="14"/>
      <c r="U12" s="14"/>
      <c r="V12" s="14">
        <v>300</v>
      </c>
      <c r="W12" s="14"/>
      <c r="X12" s="14"/>
      <c r="Y12" s="14"/>
      <c r="Z12" s="14"/>
    </row>
    <row r="13" spans="2:26" x14ac:dyDescent="0.3">
      <c r="B13" s="14"/>
      <c r="C13" s="14"/>
      <c r="D13" s="14"/>
      <c r="E13" s="14"/>
      <c r="F13" s="14"/>
      <c r="G13" s="14"/>
      <c r="H13" s="14"/>
      <c r="I13" s="14"/>
      <c r="J13" s="14"/>
      <c r="K13" s="14"/>
      <c r="L13" s="14"/>
      <c r="M13" s="14"/>
      <c r="N13" s="14"/>
      <c r="O13" s="14"/>
      <c r="P13" s="14" t="s">
        <v>1002</v>
      </c>
      <c r="Q13" s="14"/>
      <c r="R13" s="14"/>
      <c r="S13" s="14"/>
      <c r="T13" s="14"/>
      <c r="U13" s="14"/>
      <c r="V13" s="14">
        <v>400</v>
      </c>
      <c r="W13" s="14"/>
      <c r="X13" s="14"/>
      <c r="Y13" s="14"/>
      <c r="Z13" s="14"/>
    </row>
    <row r="14" spans="2:26" x14ac:dyDescent="0.3">
      <c r="V14" s="14">
        <v>500</v>
      </c>
      <c r="W14" s="14"/>
      <c r="X14" s="14"/>
      <c r="Y14" s="14"/>
      <c r="Z14" s="14"/>
    </row>
    <row r="15" spans="2:26" x14ac:dyDescent="0.3">
      <c r="B15" s="5" t="s">
        <v>17</v>
      </c>
      <c r="C15" s="200" t="s">
        <v>18</v>
      </c>
      <c r="D15" s="201"/>
      <c r="E15" s="6" t="s">
        <v>102</v>
      </c>
      <c r="F15" s="192" t="s">
        <v>103</v>
      </c>
      <c r="G15" s="192"/>
      <c r="H15" s="192"/>
      <c r="I15" s="192"/>
      <c r="J15" s="192"/>
      <c r="K15" s="1"/>
      <c r="L15" s="1"/>
      <c r="M15" s="1"/>
      <c r="V15" s="14">
        <v>600</v>
      </c>
      <c r="W15" s="14"/>
      <c r="X15" s="14"/>
      <c r="Y15" s="14"/>
      <c r="Z15" s="14"/>
    </row>
    <row r="16" spans="2:26" x14ac:dyDescent="0.3">
      <c r="B16" s="7"/>
      <c r="C16" s="200"/>
      <c r="D16" s="201"/>
      <c r="E16" s="6" t="s">
        <v>104</v>
      </c>
      <c r="F16" s="192" t="s">
        <v>105</v>
      </c>
      <c r="G16" s="192"/>
      <c r="H16" s="192"/>
      <c r="I16" s="192"/>
      <c r="J16" s="192"/>
      <c r="K16" s="1"/>
      <c r="L16" s="1"/>
      <c r="M16" s="1"/>
    </row>
    <row r="17" spans="2:13" x14ac:dyDescent="0.3">
      <c r="B17" s="7"/>
      <c r="C17" s="200"/>
      <c r="D17" s="201"/>
      <c r="E17" s="6" t="s">
        <v>106</v>
      </c>
      <c r="F17" s="192" t="s">
        <v>107</v>
      </c>
      <c r="G17" s="192"/>
      <c r="H17" s="192"/>
      <c r="I17" s="192"/>
      <c r="J17" s="192"/>
      <c r="K17" s="1"/>
      <c r="L17" s="1"/>
      <c r="M17" s="1"/>
    </row>
    <row r="18" spans="2:13" ht="15.6" x14ac:dyDescent="0.3">
      <c r="B18" s="7"/>
      <c r="C18" s="3"/>
      <c r="D18" s="3"/>
      <c r="E18" s="6" t="s">
        <v>108</v>
      </c>
      <c r="F18" s="192" t="s">
        <v>225</v>
      </c>
      <c r="G18" s="192"/>
      <c r="H18" s="192"/>
      <c r="I18" s="192"/>
      <c r="J18" s="192"/>
      <c r="K18" s="1"/>
      <c r="L18" s="1"/>
    </row>
    <row r="19" spans="2:13" ht="15" customHeight="1" x14ac:dyDescent="0.3">
      <c r="B19" s="7"/>
      <c r="M19" s="1"/>
    </row>
    <row r="20" spans="2:13" ht="18.75" customHeight="1" x14ac:dyDescent="0.3">
      <c r="B20" s="5" t="s">
        <v>108</v>
      </c>
      <c r="C20" s="198" t="s">
        <v>109</v>
      </c>
      <c r="D20" s="199"/>
      <c r="E20" s="6" t="s">
        <v>110</v>
      </c>
      <c r="F20" s="192" t="s">
        <v>111</v>
      </c>
      <c r="G20" s="192"/>
      <c r="H20" s="192"/>
      <c r="I20" s="192"/>
      <c r="J20" s="192"/>
      <c r="K20" s="1"/>
      <c r="L20" s="1"/>
      <c r="M20" s="1"/>
    </row>
    <row r="21" spans="2:13" x14ac:dyDescent="0.3">
      <c r="B21" s="7"/>
      <c r="C21" s="198"/>
      <c r="D21" s="199"/>
      <c r="E21" s="6" t="s">
        <v>112</v>
      </c>
      <c r="F21" s="192" t="s">
        <v>113</v>
      </c>
      <c r="G21" s="192"/>
      <c r="H21" s="192"/>
      <c r="I21" s="192"/>
      <c r="J21" s="192"/>
      <c r="K21" s="1"/>
      <c r="L21" s="1"/>
      <c r="M21" s="1"/>
    </row>
    <row r="22" spans="2:13" x14ac:dyDescent="0.3">
      <c r="B22" s="7"/>
      <c r="M22" s="1"/>
    </row>
    <row r="23" spans="2:13" x14ac:dyDescent="0.3">
      <c r="B23" s="7"/>
    </row>
    <row r="24" spans="2:13" ht="15" customHeight="1" x14ac:dyDescent="0.3">
      <c r="B24" s="5" t="s">
        <v>114</v>
      </c>
      <c r="C24" s="198" t="s">
        <v>115</v>
      </c>
      <c r="D24" s="199"/>
      <c r="E24" s="6" t="s">
        <v>116</v>
      </c>
      <c r="F24" s="192" t="s">
        <v>117</v>
      </c>
      <c r="G24" s="192"/>
      <c r="H24" s="192"/>
      <c r="I24" s="192"/>
      <c r="J24" s="192"/>
      <c r="K24" s="1"/>
      <c r="L24" s="1"/>
      <c r="M24" s="1"/>
    </row>
    <row r="25" spans="2:13" x14ac:dyDescent="0.3">
      <c r="B25" s="7"/>
      <c r="C25" s="198"/>
      <c r="D25" s="199"/>
      <c r="E25" s="6" t="s">
        <v>118</v>
      </c>
      <c r="F25" s="192" t="s">
        <v>119</v>
      </c>
      <c r="G25" s="192"/>
      <c r="H25" s="192"/>
      <c r="I25" s="192"/>
      <c r="J25" s="192"/>
      <c r="K25" s="1"/>
      <c r="L25" s="1"/>
      <c r="M25" s="1"/>
    </row>
    <row r="26" spans="2:13" x14ac:dyDescent="0.3">
      <c r="B26" s="7"/>
      <c r="C26" s="198"/>
      <c r="D26" s="199"/>
      <c r="E26" s="6" t="s">
        <v>120</v>
      </c>
      <c r="F26" s="192" t="s">
        <v>121</v>
      </c>
      <c r="G26" s="192"/>
      <c r="H26" s="192"/>
      <c r="I26" s="192"/>
      <c r="J26" s="192"/>
      <c r="K26" s="1"/>
      <c r="L26" s="1"/>
      <c r="M26" s="1"/>
    </row>
    <row r="27" spans="2:13" ht="15" customHeight="1" x14ac:dyDescent="0.3">
      <c r="B27" s="7"/>
      <c r="M27" s="1"/>
    </row>
    <row r="28" spans="2:13" ht="18.75" customHeight="1" x14ac:dyDescent="0.3">
      <c r="B28" s="5" t="s">
        <v>122</v>
      </c>
      <c r="C28" s="198" t="s">
        <v>123</v>
      </c>
      <c r="D28" s="199"/>
      <c r="E28" s="6" t="s">
        <v>124</v>
      </c>
      <c r="F28" s="192" t="s">
        <v>226</v>
      </c>
      <c r="G28" s="192"/>
      <c r="H28" s="192"/>
      <c r="I28" s="192"/>
      <c r="J28" s="192"/>
      <c r="K28" s="1"/>
      <c r="L28" s="1"/>
    </row>
    <row r="29" spans="2:13" ht="15" customHeight="1" x14ac:dyDescent="0.3">
      <c r="B29" s="7"/>
      <c r="C29" s="198"/>
      <c r="D29" s="199"/>
      <c r="E29" s="6" t="s">
        <v>125</v>
      </c>
      <c r="F29" s="192" t="s">
        <v>126</v>
      </c>
      <c r="G29" s="192"/>
      <c r="H29" s="192"/>
      <c r="I29" s="192"/>
      <c r="J29" s="192"/>
      <c r="K29" s="1"/>
      <c r="L29" s="1"/>
      <c r="M29" s="1"/>
    </row>
    <row r="30" spans="2:13" ht="15" customHeight="1" x14ac:dyDescent="0.3">
      <c r="B30" s="7"/>
      <c r="C30" s="198"/>
      <c r="D30" s="199"/>
      <c r="E30" s="6" t="s">
        <v>60</v>
      </c>
      <c r="F30" s="192" t="s">
        <v>227</v>
      </c>
      <c r="G30" s="192"/>
      <c r="H30" s="192"/>
      <c r="I30" s="192"/>
      <c r="J30" s="192"/>
      <c r="K30" s="1"/>
      <c r="L30" s="1"/>
      <c r="M30" s="1"/>
    </row>
    <row r="31" spans="2:13" ht="15" customHeight="1" x14ac:dyDescent="0.3">
      <c r="B31" s="7"/>
      <c r="E31" s="6" t="s">
        <v>127</v>
      </c>
      <c r="F31" s="192" t="s">
        <v>128</v>
      </c>
      <c r="G31" s="192"/>
      <c r="H31" s="192"/>
      <c r="I31" s="192"/>
      <c r="J31" s="192"/>
      <c r="K31" s="1"/>
      <c r="L31" s="1"/>
      <c r="M31" s="1"/>
    </row>
    <row r="32" spans="2:13" x14ac:dyDescent="0.3">
      <c r="B32" s="7"/>
      <c r="M32" s="1"/>
    </row>
    <row r="33" spans="2:13" ht="18.75" customHeight="1" x14ac:dyDescent="0.3">
      <c r="B33" s="5" t="s">
        <v>129</v>
      </c>
      <c r="C33" s="198" t="s">
        <v>130</v>
      </c>
      <c r="D33" s="199"/>
      <c r="E33" s="6" t="s">
        <v>131</v>
      </c>
      <c r="F33" s="192" t="s">
        <v>59</v>
      </c>
      <c r="G33" s="192"/>
      <c r="H33" s="192"/>
      <c r="I33" s="192"/>
      <c r="J33" s="192"/>
      <c r="K33" s="1"/>
      <c r="L33" s="1"/>
      <c r="M33" s="1"/>
    </row>
    <row r="34" spans="2:13" x14ac:dyDescent="0.3">
      <c r="B34" s="7"/>
      <c r="C34" s="198"/>
      <c r="D34" s="199"/>
      <c r="E34" s="6" t="s">
        <v>132</v>
      </c>
      <c r="F34" s="192" t="s">
        <v>133</v>
      </c>
      <c r="G34" s="192"/>
      <c r="H34" s="192"/>
      <c r="I34" s="192"/>
      <c r="J34" s="192"/>
      <c r="K34" s="1"/>
      <c r="L34" s="1"/>
      <c r="M34" s="1"/>
    </row>
    <row r="35" spans="2:13" x14ac:dyDescent="0.3">
      <c r="B35" s="7"/>
      <c r="E35" s="16" t="s">
        <v>134</v>
      </c>
      <c r="F35" s="192" t="s">
        <v>135</v>
      </c>
      <c r="G35" s="192"/>
      <c r="H35" s="192"/>
      <c r="I35" s="192"/>
      <c r="J35" s="192"/>
      <c r="K35" s="1"/>
      <c r="L35" s="1"/>
      <c r="M35" s="1"/>
    </row>
    <row r="36" spans="2:13" x14ac:dyDescent="0.3">
      <c r="B36" s="7"/>
      <c r="E36" s="6" t="s">
        <v>136</v>
      </c>
      <c r="F36" s="192" t="s">
        <v>137</v>
      </c>
      <c r="G36" s="192"/>
      <c r="H36" s="192"/>
      <c r="I36" s="192"/>
      <c r="J36" s="192"/>
      <c r="K36" s="1"/>
      <c r="L36" s="1"/>
      <c r="M36" s="1"/>
    </row>
    <row r="37" spans="2:13" x14ac:dyDescent="0.3">
      <c r="B37" s="7"/>
      <c r="M37" s="1"/>
    </row>
    <row r="38" spans="2:13" ht="15" customHeight="1" x14ac:dyDescent="0.3">
      <c r="B38" s="7"/>
      <c r="C38" s="198"/>
      <c r="D38" s="198"/>
      <c r="M38" s="1"/>
    </row>
    <row r="39" spans="2:13" ht="15" customHeight="1" x14ac:dyDescent="0.3">
      <c r="B39" s="17" t="s">
        <v>134</v>
      </c>
      <c r="C39" s="198" t="s">
        <v>138</v>
      </c>
      <c r="D39" s="199"/>
      <c r="E39" s="6" t="s">
        <v>139</v>
      </c>
      <c r="F39" s="192" t="s">
        <v>140</v>
      </c>
      <c r="G39" s="192"/>
      <c r="H39" s="192"/>
      <c r="I39" s="192"/>
      <c r="J39" s="192"/>
      <c r="K39" s="1"/>
      <c r="L39" s="1"/>
      <c r="M39" s="1"/>
    </row>
    <row r="40" spans="2:13" ht="15" customHeight="1" x14ac:dyDescent="0.3">
      <c r="B40" s="7"/>
      <c r="C40" s="198"/>
      <c r="D40" s="199"/>
      <c r="E40" s="6" t="s">
        <v>141</v>
      </c>
      <c r="F40" s="192" t="s">
        <v>142</v>
      </c>
      <c r="G40" s="192"/>
      <c r="H40" s="192"/>
      <c r="I40" s="192"/>
      <c r="J40" s="192"/>
      <c r="K40" s="1"/>
      <c r="L40" s="1"/>
    </row>
    <row r="41" spans="2:13" ht="15" customHeight="1" x14ac:dyDescent="0.3">
      <c r="B41" s="7"/>
      <c r="C41" s="198"/>
      <c r="D41" s="199"/>
      <c r="E41" s="6" t="s">
        <v>143</v>
      </c>
      <c r="F41" s="192" t="s">
        <v>144</v>
      </c>
      <c r="G41" s="192"/>
      <c r="H41" s="192"/>
      <c r="I41" s="192"/>
      <c r="J41" s="192"/>
      <c r="K41" s="1"/>
      <c r="L41" s="1"/>
      <c r="M41" s="1"/>
    </row>
    <row r="42" spans="2:13" ht="15.6" x14ac:dyDescent="0.3">
      <c r="B42" s="7"/>
      <c r="C42" s="4"/>
      <c r="D42" s="4"/>
      <c r="M42" s="1"/>
    </row>
    <row r="43" spans="2:13" ht="15" customHeight="1" x14ac:dyDescent="0.3">
      <c r="B43" s="5" t="s">
        <v>145</v>
      </c>
      <c r="C43" s="198" t="s">
        <v>146</v>
      </c>
      <c r="D43" s="199"/>
      <c r="E43" s="6" t="s">
        <v>147</v>
      </c>
      <c r="F43" s="192" t="s">
        <v>148</v>
      </c>
      <c r="G43" s="192"/>
      <c r="H43" s="192"/>
      <c r="I43" s="192"/>
      <c r="J43" s="192"/>
      <c r="K43" s="1"/>
      <c r="L43" s="1"/>
    </row>
    <row r="44" spans="2:13" ht="15" customHeight="1" x14ac:dyDescent="0.3">
      <c r="B44" s="7"/>
      <c r="C44" s="198"/>
      <c r="D44" s="199"/>
      <c r="E44" s="6" t="s">
        <v>149</v>
      </c>
      <c r="F44" s="192" t="s">
        <v>150</v>
      </c>
      <c r="G44" s="192"/>
      <c r="H44" s="192"/>
      <c r="I44" s="192"/>
      <c r="J44" s="192"/>
      <c r="K44" s="1"/>
      <c r="L44" s="1"/>
    </row>
    <row r="45" spans="2:13" ht="15" customHeight="1" x14ac:dyDescent="0.3">
      <c r="B45" s="7"/>
      <c r="C45" s="198"/>
      <c r="D45" s="199"/>
      <c r="E45" s="6" t="s">
        <v>151</v>
      </c>
      <c r="F45" s="192" t="s">
        <v>152</v>
      </c>
      <c r="G45" s="192"/>
      <c r="H45" s="192"/>
      <c r="I45" s="192"/>
      <c r="J45" s="192"/>
      <c r="K45" s="1"/>
      <c r="L45" s="1"/>
    </row>
    <row r="46" spans="2:13" ht="15" customHeight="1" x14ac:dyDescent="0.3">
      <c r="B46" s="7"/>
      <c r="C46" s="4"/>
      <c r="D46" s="4"/>
    </row>
    <row r="47" spans="2:13" ht="15" customHeight="1" x14ac:dyDescent="0.3">
      <c r="B47" s="5" t="s">
        <v>153</v>
      </c>
      <c r="C47" s="198" t="s">
        <v>154</v>
      </c>
      <c r="D47" s="199"/>
      <c r="E47" s="6" t="s">
        <v>155</v>
      </c>
      <c r="F47" s="192" t="s">
        <v>156</v>
      </c>
      <c r="G47" s="192"/>
      <c r="H47" s="192"/>
      <c r="I47" s="192"/>
      <c r="J47" s="192"/>
      <c r="K47" s="1"/>
      <c r="L47" s="1"/>
    </row>
    <row r="48" spans="2:13" ht="15" customHeight="1" x14ac:dyDescent="0.3">
      <c r="B48" s="7"/>
      <c r="C48" s="198"/>
      <c r="D48" s="199"/>
      <c r="E48" s="6" t="s">
        <v>221</v>
      </c>
      <c r="F48" s="192" t="s">
        <v>157</v>
      </c>
      <c r="G48" s="192"/>
      <c r="H48" s="192"/>
      <c r="I48" s="192"/>
      <c r="J48" s="192"/>
      <c r="K48" s="1"/>
      <c r="L48" s="1"/>
    </row>
    <row r="49" spans="2:12" ht="15" customHeight="1" x14ac:dyDescent="0.3">
      <c r="B49" s="7"/>
      <c r="C49" s="198"/>
      <c r="D49" s="199"/>
      <c r="E49" s="6" t="s">
        <v>158</v>
      </c>
      <c r="F49" s="192" t="s">
        <v>159</v>
      </c>
      <c r="G49" s="192"/>
      <c r="H49" s="192"/>
      <c r="I49" s="192"/>
      <c r="J49" s="192"/>
      <c r="K49" s="1"/>
      <c r="L49" s="1"/>
    </row>
    <row r="50" spans="2:12" ht="15" thickBot="1" x14ac:dyDescent="0.35">
      <c r="B50" s="7"/>
      <c r="K50" s="1"/>
      <c r="L50" s="1"/>
    </row>
    <row r="51" spans="2:12" ht="15" customHeight="1" x14ac:dyDescent="0.3">
      <c r="B51" s="5" t="s">
        <v>160</v>
      </c>
      <c r="C51" s="198" t="s">
        <v>161</v>
      </c>
      <c r="D51" s="198"/>
      <c r="E51" s="8">
        <v>100</v>
      </c>
      <c r="F51" s="202" t="s">
        <v>162</v>
      </c>
      <c r="G51" s="202"/>
      <c r="H51" s="203"/>
      <c r="I51" s="203"/>
      <c r="J51" s="204"/>
      <c r="K51" s="1"/>
      <c r="L51" s="1"/>
    </row>
    <row r="52" spans="2:12" ht="15" customHeight="1" x14ac:dyDescent="0.3">
      <c r="B52" s="7"/>
      <c r="C52" s="198"/>
      <c r="D52" s="198"/>
      <c r="E52" s="9">
        <v>101</v>
      </c>
      <c r="F52" s="192" t="s">
        <v>163</v>
      </c>
      <c r="G52" s="192"/>
      <c r="H52" s="193"/>
      <c r="I52" s="193"/>
      <c r="J52" s="194"/>
      <c r="K52" s="1"/>
      <c r="L52" s="1"/>
    </row>
    <row r="53" spans="2:12" ht="15" customHeight="1" x14ac:dyDescent="0.3">
      <c r="B53" s="7"/>
      <c r="C53" s="198"/>
      <c r="D53" s="198"/>
      <c r="E53" s="9">
        <v>102</v>
      </c>
      <c r="F53" s="192" t="s">
        <v>164</v>
      </c>
      <c r="G53" s="192"/>
      <c r="H53" s="193"/>
      <c r="I53" s="193"/>
      <c r="J53" s="194"/>
      <c r="K53" s="1"/>
      <c r="L53" s="1"/>
    </row>
    <row r="54" spans="2:12" x14ac:dyDescent="0.3">
      <c r="B54" s="7"/>
      <c r="E54" s="9">
        <v>103</v>
      </c>
      <c r="F54" s="192" t="s">
        <v>165</v>
      </c>
      <c r="G54" s="192"/>
      <c r="H54" s="193"/>
      <c r="I54" s="193"/>
      <c r="J54" s="194"/>
      <c r="K54" s="1"/>
      <c r="L54" s="1"/>
    </row>
    <row r="55" spans="2:12" x14ac:dyDescent="0.3">
      <c r="B55" s="7"/>
      <c r="E55" s="9">
        <v>104</v>
      </c>
      <c r="F55" s="192" t="s">
        <v>166</v>
      </c>
      <c r="G55" s="192"/>
      <c r="H55" s="193"/>
      <c r="I55" s="193"/>
      <c r="J55" s="194"/>
      <c r="K55" s="1"/>
      <c r="L55" s="1"/>
    </row>
    <row r="56" spans="2:12" x14ac:dyDescent="0.3">
      <c r="B56" s="7"/>
      <c r="E56" s="9">
        <v>105</v>
      </c>
      <c r="F56" s="192" t="s">
        <v>167</v>
      </c>
      <c r="G56" s="192"/>
      <c r="H56" s="193"/>
      <c r="I56" s="193"/>
      <c r="J56" s="194"/>
      <c r="K56" s="1"/>
      <c r="L56" s="1"/>
    </row>
    <row r="57" spans="2:12" x14ac:dyDescent="0.3">
      <c r="B57" s="7"/>
      <c r="E57" s="9">
        <v>200</v>
      </c>
      <c r="F57" s="195" t="s">
        <v>168</v>
      </c>
      <c r="G57" s="195"/>
      <c r="H57" s="196"/>
      <c r="I57" s="196"/>
      <c r="J57" s="197"/>
      <c r="K57" s="1"/>
      <c r="L57" s="1"/>
    </row>
    <row r="58" spans="2:12" x14ac:dyDescent="0.3">
      <c r="B58" s="7"/>
      <c r="E58" s="9">
        <v>201</v>
      </c>
      <c r="F58" s="192" t="s">
        <v>169</v>
      </c>
      <c r="G58" s="192"/>
      <c r="H58" s="193"/>
      <c r="I58" s="193"/>
      <c r="J58" s="194"/>
      <c r="K58" s="1"/>
      <c r="L58" s="1"/>
    </row>
    <row r="59" spans="2:12" x14ac:dyDescent="0.3">
      <c r="B59" s="7"/>
      <c r="E59" s="9">
        <v>202</v>
      </c>
      <c r="F59" s="192" t="s">
        <v>170</v>
      </c>
      <c r="G59" s="192"/>
      <c r="H59" s="193"/>
      <c r="I59" s="193"/>
      <c r="J59" s="194"/>
      <c r="K59" s="1"/>
      <c r="L59" s="1"/>
    </row>
    <row r="60" spans="2:12" x14ac:dyDescent="0.3">
      <c r="B60" s="7"/>
      <c r="E60" s="9">
        <v>300</v>
      </c>
      <c r="F60" s="195" t="s">
        <v>171</v>
      </c>
      <c r="G60" s="195"/>
      <c r="H60" s="196"/>
      <c r="I60" s="196"/>
      <c r="J60" s="197"/>
      <c r="K60" s="1"/>
      <c r="L60" s="1"/>
    </row>
    <row r="61" spans="2:12" x14ac:dyDescent="0.3">
      <c r="B61" s="7"/>
      <c r="E61" s="9">
        <v>400</v>
      </c>
      <c r="F61" s="195" t="s">
        <v>172</v>
      </c>
      <c r="G61" s="195"/>
      <c r="H61" s="196"/>
      <c r="I61" s="196"/>
      <c r="J61" s="197"/>
      <c r="K61" s="1"/>
      <c r="L61" s="1"/>
    </row>
    <row r="62" spans="2:12" ht="15" thickBot="1" x14ac:dyDescent="0.35">
      <c r="B62" s="7"/>
      <c r="E62" s="10">
        <v>500</v>
      </c>
      <c r="F62" s="11" t="s">
        <v>173</v>
      </c>
      <c r="G62" s="11"/>
      <c r="H62" s="11"/>
      <c r="I62" s="11"/>
      <c r="J62" s="12"/>
      <c r="K62" s="1"/>
      <c r="L62" s="1"/>
    </row>
    <row r="63" spans="2:12" ht="15" thickBot="1" x14ac:dyDescent="0.35">
      <c r="B63" s="7"/>
      <c r="E63" s="10">
        <v>600</v>
      </c>
      <c r="F63" s="11" t="s">
        <v>174</v>
      </c>
      <c r="G63" s="11"/>
      <c r="H63" s="11"/>
      <c r="I63" s="11"/>
      <c r="J63" s="12"/>
      <c r="K63" s="1"/>
      <c r="L63" s="1"/>
    </row>
    <row r="64" spans="2:12" x14ac:dyDescent="0.3">
      <c r="B64" s="7"/>
      <c r="K64" s="1"/>
      <c r="L64" s="1"/>
    </row>
    <row r="65" spans="2:12" ht="18" x14ac:dyDescent="0.3">
      <c r="B65" s="5" t="s">
        <v>46</v>
      </c>
      <c r="C65" s="206" t="s">
        <v>175</v>
      </c>
      <c r="D65" s="206"/>
      <c r="E65" s="13" t="s">
        <v>176</v>
      </c>
      <c r="F65" s="208" t="s">
        <v>177</v>
      </c>
      <c r="G65" s="208"/>
      <c r="H65" s="208"/>
      <c r="I65" s="208"/>
      <c r="J65" s="208"/>
      <c r="K65" s="1"/>
      <c r="L65" s="1"/>
    </row>
    <row r="66" spans="2:12" ht="15.6" x14ac:dyDescent="0.3">
      <c r="C66" s="206"/>
      <c r="D66" s="207"/>
      <c r="E66" s="6" t="s">
        <v>24</v>
      </c>
      <c r="F66" s="205" t="s">
        <v>31</v>
      </c>
      <c r="G66" s="205"/>
      <c r="H66" s="205"/>
      <c r="I66" s="205"/>
      <c r="J66" s="205"/>
      <c r="K66" s="1"/>
      <c r="L66" s="1"/>
    </row>
    <row r="67" spans="2:12" ht="15.6" x14ac:dyDescent="0.3">
      <c r="C67" s="206"/>
      <c r="D67" s="207"/>
      <c r="E67" s="6" t="s">
        <v>25</v>
      </c>
      <c r="F67" s="205" t="s">
        <v>32</v>
      </c>
      <c r="G67" s="205"/>
      <c r="H67" s="205"/>
      <c r="I67" s="205"/>
      <c r="J67" s="205"/>
      <c r="K67" s="1"/>
      <c r="L67" s="1"/>
    </row>
    <row r="68" spans="2:12" ht="15.6" x14ac:dyDescent="0.3">
      <c r="C68" s="206"/>
      <c r="D68" s="207"/>
      <c r="E68" s="6" t="s">
        <v>26</v>
      </c>
      <c r="F68" s="205" t="s">
        <v>33</v>
      </c>
      <c r="G68" s="205"/>
      <c r="H68" s="205"/>
      <c r="I68" s="205"/>
      <c r="J68" s="205"/>
      <c r="K68" s="15"/>
      <c r="L68" s="15"/>
    </row>
    <row r="69" spans="2:12" ht="15.6" x14ac:dyDescent="0.3">
      <c r="E69" s="6" t="s">
        <v>28</v>
      </c>
      <c r="F69" s="205" t="s">
        <v>35</v>
      </c>
      <c r="G69" s="205"/>
      <c r="H69" s="205"/>
      <c r="I69" s="205"/>
      <c r="J69" s="205"/>
      <c r="K69" s="15"/>
      <c r="L69" s="15"/>
    </row>
    <row r="70" spans="2:12" ht="15.6" x14ac:dyDescent="0.3">
      <c r="E70" s="6" t="s">
        <v>27</v>
      </c>
      <c r="F70" s="205" t="s">
        <v>34</v>
      </c>
      <c r="G70" s="205"/>
      <c r="H70" s="205"/>
      <c r="I70" s="205"/>
      <c r="J70" s="205"/>
      <c r="K70" s="15"/>
      <c r="L70" s="15"/>
    </row>
    <row r="71" spans="2:12" ht="15.6" x14ac:dyDescent="0.3">
      <c r="E71" s="6" t="s">
        <v>23</v>
      </c>
      <c r="F71" s="205" t="s">
        <v>36</v>
      </c>
      <c r="G71" s="205"/>
      <c r="H71" s="205"/>
      <c r="I71" s="205"/>
      <c r="J71" s="205"/>
      <c r="K71" s="15"/>
      <c r="L71" s="15"/>
    </row>
    <row r="72" spans="2:12" ht="15.6" x14ac:dyDescent="0.3">
      <c r="E72" s="6" t="s">
        <v>29</v>
      </c>
      <c r="F72" s="205" t="s">
        <v>37</v>
      </c>
      <c r="G72" s="205"/>
      <c r="H72" s="205"/>
      <c r="I72" s="205"/>
      <c r="J72" s="205"/>
      <c r="K72" s="15"/>
      <c r="L72" s="15"/>
    </row>
    <row r="73" spans="2:12" ht="15.6" x14ac:dyDescent="0.3">
      <c r="E73" s="6" t="s">
        <v>30</v>
      </c>
      <c r="F73" s="205" t="s">
        <v>38</v>
      </c>
      <c r="G73" s="205"/>
      <c r="H73" s="205"/>
      <c r="I73" s="205"/>
      <c r="J73" s="205"/>
      <c r="K73" s="15"/>
      <c r="L73" s="15"/>
    </row>
    <row r="74" spans="2:12" ht="15.6" x14ac:dyDescent="0.3">
      <c r="E74" s="6" t="s">
        <v>40</v>
      </c>
      <c r="F74" s="205" t="s">
        <v>39</v>
      </c>
      <c r="G74" s="205"/>
      <c r="H74" s="205"/>
      <c r="I74" s="205"/>
      <c r="J74" s="205"/>
      <c r="K74" s="15"/>
      <c r="L74" s="15"/>
    </row>
    <row r="75" spans="2:12" ht="15.6" x14ac:dyDescent="0.3">
      <c r="E75" s="6" t="s">
        <v>100</v>
      </c>
      <c r="F75" s="205" t="s">
        <v>178</v>
      </c>
      <c r="G75" s="205"/>
      <c r="H75" s="205"/>
      <c r="I75" s="205"/>
      <c r="J75" s="205"/>
      <c r="K75" s="15"/>
      <c r="L75" s="15"/>
    </row>
    <row r="76" spans="2:12" x14ac:dyDescent="0.3">
      <c r="E76" s="6" t="s">
        <v>101</v>
      </c>
      <c r="F76" s="192" t="s">
        <v>179</v>
      </c>
      <c r="G76" s="192"/>
      <c r="H76" s="192"/>
      <c r="I76" s="192"/>
      <c r="J76" s="192"/>
      <c r="K76" s="1"/>
      <c r="L76" s="1"/>
    </row>
    <row r="77" spans="2:12" x14ac:dyDescent="0.3">
      <c r="E77" s="6" t="s">
        <v>23</v>
      </c>
      <c r="F77" s="192" t="s">
        <v>222</v>
      </c>
      <c r="G77" s="192"/>
      <c r="H77" s="192"/>
      <c r="I77" s="192"/>
      <c r="J77" s="192"/>
    </row>
  </sheetData>
  <mergeCells count="61">
    <mergeCell ref="F77:J77"/>
    <mergeCell ref="F74:J74"/>
    <mergeCell ref="F75:J75"/>
    <mergeCell ref="F76:J76"/>
    <mergeCell ref="C65:D68"/>
    <mergeCell ref="F65:J65"/>
    <mergeCell ref="F66:J66"/>
    <mergeCell ref="F67:J67"/>
    <mergeCell ref="F68:J68"/>
    <mergeCell ref="F69:J69"/>
    <mergeCell ref="F70:J70"/>
    <mergeCell ref="F71:J71"/>
    <mergeCell ref="F72:J72"/>
    <mergeCell ref="F73:J73"/>
    <mergeCell ref="C51:D53"/>
    <mergeCell ref="F51:J51"/>
    <mergeCell ref="F52:J52"/>
    <mergeCell ref="F53:J53"/>
    <mergeCell ref="F54:J54"/>
    <mergeCell ref="C43:D45"/>
    <mergeCell ref="F43:J43"/>
    <mergeCell ref="F44:J44"/>
    <mergeCell ref="F45:J45"/>
    <mergeCell ref="C47:D49"/>
    <mergeCell ref="F47:J47"/>
    <mergeCell ref="F48:J48"/>
    <mergeCell ref="F49:J49"/>
    <mergeCell ref="C38:D38"/>
    <mergeCell ref="C39:D41"/>
    <mergeCell ref="F39:J39"/>
    <mergeCell ref="F40:J40"/>
    <mergeCell ref="F41:J41"/>
    <mergeCell ref="F28:J28"/>
    <mergeCell ref="F29:J29"/>
    <mergeCell ref="F30:J30"/>
    <mergeCell ref="F31:J31"/>
    <mergeCell ref="C33:D34"/>
    <mergeCell ref="F33:J33"/>
    <mergeCell ref="F34:J34"/>
    <mergeCell ref="C28:D30"/>
    <mergeCell ref="C15:D17"/>
    <mergeCell ref="F15:J15"/>
    <mergeCell ref="F16:J16"/>
    <mergeCell ref="F17:J17"/>
    <mergeCell ref="F18:J18"/>
    <mergeCell ref="C20:D21"/>
    <mergeCell ref="F20:J20"/>
    <mergeCell ref="F21:J21"/>
    <mergeCell ref="C24:D26"/>
    <mergeCell ref="F24:J24"/>
    <mergeCell ref="F25:J25"/>
    <mergeCell ref="F26:J26"/>
    <mergeCell ref="F35:J35"/>
    <mergeCell ref="F36:J36"/>
    <mergeCell ref="F59:J59"/>
    <mergeCell ref="F60:J60"/>
    <mergeCell ref="F61:J61"/>
    <mergeCell ref="F55:J55"/>
    <mergeCell ref="F56:J56"/>
    <mergeCell ref="F57:J57"/>
    <mergeCell ref="F58:J58"/>
  </mergeCells>
  <phoneticPr fontId="21" type="noConversion"/>
  <pageMargins left="0.7" right="0.7" top="0.75" bottom="0.75" header="0.3" footer="0.3"/>
  <pageSetup paperSize="9" orientation="portrait" horizontalDpi="360" verticalDpi="36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tabColor rgb="FF92D050"/>
  </sheetPr>
  <dimension ref="A1:AI477"/>
  <sheetViews>
    <sheetView tabSelected="1" zoomScale="55" zoomScaleNormal="55" workbookViewId="0">
      <pane xSplit="6" ySplit="4" topLeftCell="G396" activePane="bottomRight" state="frozen"/>
      <selection activeCell="C14" sqref="C14"/>
      <selection pane="topRight" activeCell="C14" sqref="C14"/>
      <selection pane="bottomLeft" activeCell="C14" sqref="C14"/>
      <selection pane="bottomRight" activeCell="G4" sqref="G4"/>
    </sheetView>
  </sheetViews>
  <sheetFormatPr baseColWidth="10" defaultColWidth="17.109375" defaultRowHeight="12.75" customHeight="1" x14ac:dyDescent="0.25"/>
  <cols>
    <col min="1" max="1" width="17.44140625" style="121" customWidth="1"/>
    <col min="2" max="2" width="10.5546875" style="131" bestFit="1" customWidth="1"/>
    <col min="3" max="4" width="10.6640625" style="131" customWidth="1"/>
    <col min="5" max="6" width="30.6640625" style="123" customWidth="1"/>
    <col min="7" max="7" width="24.6640625" style="131" customWidth="1"/>
    <col min="8" max="8" width="14.6640625" style="132" customWidth="1"/>
    <col min="9" max="9" width="22.33203125" style="133" customWidth="1"/>
    <col min="10" max="11" width="15.6640625" style="131" customWidth="1"/>
    <col min="12" max="12" width="15.6640625" style="133" customWidth="1"/>
    <col min="13" max="13" width="15.6640625" style="131" customWidth="1"/>
    <col min="14" max="14" width="15.6640625" style="130" customWidth="1"/>
    <col min="15" max="16" width="15.6640625" style="131" customWidth="1"/>
    <col min="17" max="17" width="15.6640625" style="133" customWidth="1"/>
    <col min="18" max="18" width="17.6640625" style="131" customWidth="1"/>
    <col min="19" max="19" width="16.6640625" style="121" customWidth="1"/>
    <col min="20" max="20" width="14.6640625" style="121" customWidth="1"/>
    <col min="21" max="21" width="13.6640625" style="134" customWidth="1"/>
    <col min="22" max="22" width="12.6640625" style="134" customWidth="1"/>
    <col min="23" max="23" width="12.6640625" style="121" customWidth="1"/>
    <col min="24" max="24" width="26.88671875" style="135" customWidth="1"/>
    <col min="25" max="25" width="14.6640625" style="136" customWidth="1"/>
    <col min="26" max="26" width="14.6640625" style="137" customWidth="1"/>
    <col min="27" max="27" width="15.6640625" style="138" customWidth="1"/>
    <col min="28" max="28" width="16.6640625" style="138" customWidth="1"/>
    <col min="29" max="30" width="24.33203125" style="131" customWidth="1"/>
    <col min="31" max="31" width="36.6640625" style="139" customWidth="1"/>
    <col min="32" max="32" width="5.6640625" style="123" customWidth="1"/>
    <col min="33" max="33" width="5.6640625" style="121" hidden="1" customWidth="1"/>
    <col min="34" max="34" width="11.88671875" style="121" hidden="1" customWidth="1"/>
    <col min="35" max="35" width="6.109375" style="121" hidden="1" customWidth="1"/>
    <col min="36" max="36" width="17.109375" style="121" customWidth="1"/>
    <col min="37" max="268" width="17.109375" style="121"/>
    <col min="269" max="269" width="1.44140625" style="121" customWidth="1"/>
    <col min="270" max="270" width="10.44140625" style="121" customWidth="1"/>
    <col min="271" max="271" width="8.6640625" style="121" customWidth="1"/>
    <col min="272" max="272" width="12.109375" style="121" customWidth="1"/>
    <col min="273" max="273" width="4.88671875" style="121" customWidth="1"/>
    <col min="274" max="274" width="42.33203125" style="121" customWidth="1"/>
    <col min="275" max="275" width="33.33203125" style="121" customWidth="1"/>
    <col min="276" max="276" width="10.33203125" style="121" customWidth="1"/>
    <col min="277" max="277" width="15.109375" style="121" customWidth="1"/>
    <col min="278" max="278" width="13.88671875" style="121" customWidth="1"/>
    <col min="279" max="279" width="11.88671875" style="121" customWidth="1"/>
    <col min="280" max="280" width="7.6640625" style="121" customWidth="1"/>
    <col min="281" max="282" width="11" style="121" customWidth="1"/>
    <col min="283" max="283" width="8.44140625" style="121" customWidth="1"/>
    <col min="284" max="284" width="33.33203125" style="121" customWidth="1"/>
    <col min="285" max="524" width="17.109375" style="121"/>
    <col min="525" max="525" width="1.44140625" style="121" customWidth="1"/>
    <col min="526" max="526" width="10.44140625" style="121" customWidth="1"/>
    <col min="527" max="527" width="8.6640625" style="121" customWidth="1"/>
    <col min="528" max="528" width="12.109375" style="121" customWidth="1"/>
    <col min="529" max="529" width="4.88671875" style="121" customWidth="1"/>
    <col min="530" max="530" width="42.33203125" style="121" customWidth="1"/>
    <col min="531" max="531" width="33.33203125" style="121" customWidth="1"/>
    <col min="532" max="532" width="10.33203125" style="121" customWidth="1"/>
    <col min="533" max="533" width="15.109375" style="121" customWidth="1"/>
    <col min="534" max="534" width="13.88671875" style="121" customWidth="1"/>
    <col min="535" max="535" width="11.88671875" style="121" customWidth="1"/>
    <col min="536" max="536" width="7.6640625" style="121" customWidth="1"/>
    <col min="537" max="538" width="11" style="121" customWidth="1"/>
    <col min="539" max="539" width="8.44140625" style="121" customWidth="1"/>
    <col min="540" max="540" width="33.33203125" style="121" customWidth="1"/>
    <col min="541" max="780" width="17.109375" style="121"/>
    <col min="781" max="781" width="1.44140625" style="121" customWidth="1"/>
    <col min="782" max="782" width="10.44140625" style="121" customWidth="1"/>
    <col min="783" max="783" width="8.6640625" style="121" customWidth="1"/>
    <col min="784" max="784" width="12.109375" style="121" customWidth="1"/>
    <col min="785" max="785" width="4.88671875" style="121" customWidth="1"/>
    <col min="786" max="786" width="42.33203125" style="121" customWidth="1"/>
    <col min="787" max="787" width="33.33203125" style="121" customWidth="1"/>
    <col min="788" max="788" width="10.33203125" style="121" customWidth="1"/>
    <col min="789" max="789" width="15.109375" style="121" customWidth="1"/>
    <col min="790" max="790" width="13.88671875" style="121" customWidth="1"/>
    <col min="791" max="791" width="11.88671875" style="121" customWidth="1"/>
    <col min="792" max="792" width="7.6640625" style="121" customWidth="1"/>
    <col min="793" max="794" width="11" style="121" customWidth="1"/>
    <col min="795" max="795" width="8.44140625" style="121" customWidth="1"/>
    <col min="796" max="796" width="33.33203125" style="121" customWidth="1"/>
    <col min="797" max="1036" width="17.109375" style="121"/>
    <col min="1037" max="1037" width="1.44140625" style="121" customWidth="1"/>
    <col min="1038" max="1038" width="10.44140625" style="121" customWidth="1"/>
    <col min="1039" max="1039" width="8.6640625" style="121" customWidth="1"/>
    <col min="1040" max="1040" width="12.109375" style="121" customWidth="1"/>
    <col min="1041" max="1041" width="4.88671875" style="121" customWidth="1"/>
    <col min="1042" max="1042" width="42.33203125" style="121" customWidth="1"/>
    <col min="1043" max="1043" width="33.33203125" style="121" customWidth="1"/>
    <col min="1044" max="1044" width="10.33203125" style="121" customWidth="1"/>
    <col min="1045" max="1045" width="15.109375" style="121" customWidth="1"/>
    <col min="1046" max="1046" width="13.88671875" style="121" customWidth="1"/>
    <col min="1047" max="1047" width="11.88671875" style="121" customWidth="1"/>
    <col min="1048" max="1048" width="7.6640625" style="121" customWidth="1"/>
    <col min="1049" max="1050" width="11" style="121" customWidth="1"/>
    <col min="1051" max="1051" width="8.44140625" style="121" customWidth="1"/>
    <col min="1052" max="1052" width="33.33203125" style="121" customWidth="1"/>
    <col min="1053" max="1292" width="17.109375" style="121"/>
    <col min="1293" max="1293" width="1.44140625" style="121" customWidth="1"/>
    <col min="1294" max="1294" width="10.44140625" style="121" customWidth="1"/>
    <col min="1295" max="1295" width="8.6640625" style="121" customWidth="1"/>
    <col min="1296" max="1296" width="12.109375" style="121" customWidth="1"/>
    <col min="1297" max="1297" width="4.88671875" style="121" customWidth="1"/>
    <col min="1298" max="1298" width="42.33203125" style="121" customWidth="1"/>
    <col min="1299" max="1299" width="33.33203125" style="121" customWidth="1"/>
    <col min="1300" max="1300" width="10.33203125" style="121" customWidth="1"/>
    <col min="1301" max="1301" width="15.109375" style="121" customWidth="1"/>
    <col min="1302" max="1302" width="13.88671875" style="121" customWidth="1"/>
    <col min="1303" max="1303" width="11.88671875" style="121" customWidth="1"/>
    <col min="1304" max="1304" width="7.6640625" style="121" customWidth="1"/>
    <col min="1305" max="1306" width="11" style="121" customWidth="1"/>
    <col min="1307" max="1307" width="8.44140625" style="121" customWidth="1"/>
    <col min="1308" max="1308" width="33.33203125" style="121" customWidth="1"/>
    <col min="1309" max="1548" width="17.109375" style="121"/>
    <col min="1549" max="1549" width="1.44140625" style="121" customWidth="1"/>
    <col min="1550" max="1550" width="10.44140625" style="121" customWidth="1"/>
    <col min="1551" max="1551" width="8.6640625" style="121" customWidth="1"/>
    <col min="1552" max="1552" width="12.109375" style="121" customWidth="1"/>
    <col min="1553" max="1553" width="4.88671875" style="121" customWidth="1"/>
    <col min="1554" max="1554" width="42.33203125" style="121" customWidth="1"/>
    <col min="1555" max="1555" width="33.33203125" style="121" customWidth="1"/>
    <col min="1556" max="1556" width="10.33203125" style="121" customWidth="1"/>
    <col min="1557" max="1557" width="15.109375" style="121" customWidth="1"/>
    <col min="1558" max="1558" width="13.88671875" style="121" customWidth="1"/>
    <col min="1559" max="1559" width="11.88671875" style="121" customWidth="1"/>
    <col min="1560" max="1560" width="7.6640625" style="121" customWidth="1"/>
    <col min="1561" max="1562" width="11" style="121" customWidth="1"/>
    <col min="1563" max="1563" width="8.44140625" style="121" customWidth="1"/>
    <col min="1564" max="1564" width="33.33203125" style="121" customWidth="1"/>
    <col min="1565" max="1804" width="17.109375" style="121"/>
    <col min="1805" max="1805" width="1.44140625" style="121" customWidth="1"/>
    <col min="1806" max="1806" width="10.44140625" style="121" customWidth="1"/>
    <col min="1807" max="1807" width="8.6640625" style="121" customWidth="1"/>
    <col min="1808" max="1808" width="12.109375" style="121" customWidth="1"/>
    <col min="1809" max="1809" width="4.88671875" style="121" customWidth="1"/>
    <col min="1810" max="1810" width="42.33203125" style="121" customWidth="1"/>
    <col min="1811" max="1811" width="33.33203125" style="121" customWidth="1"/>
    <col min="1812" max="1812" width="10.33203125" style="121" customWidth="1"/>
    <col min="1813" max="1813" width="15.109375" style="121" customWidth="1"/>
    <col min="1814" max="1814" width="13.88671875" style="121" customWidth="1"/>
    <col min="1815" max="1815" width="11.88671875" style="121" customWidth="1"/>
    <col min="1816" max="1816" width="7.6640625" style="121" customWidth="1"/>
    <col min="1817" max="1818" width="11" style="121" customWidth="1"/>
    <col min="1819" max="1819" width="8.44140625" style="121" customWidth="1"/>
    <col min="1820" max="1820" width="33.33203125" style="121" customWidth="1"/>
    <col min="1821" max="2060" width="17.109375" style="121"/>
    <col min="2061" max="2061" width="1.44140625" style="121" customWidth="1"/>
    <col min="2062" max="2062" width="10.44140625" style="121" customWidth="1"/>
    <col min="2063" max="2063" width="8.6640625" style="121" customWidth="1"/>
    <col min="2064" max="2064" width="12.109375" style="121" customWidth="1"/>
    <col min="2065" max="2065" width="4.88671875" style="121" customWidth="1"/>
    <col min="2066" max="2066" width="42.33203125" style="121" customWidth="1"/>
    <col min="2067" max="2067" width="33.33203125" style="121" customWidth="1"/>
    <col min="2068" max="2068" width="10.33203125" style="121" customWidth="1"/>
    <col min="2069" max="2069" width="15.109375" style="121" customWidth="1"/>
    <col min="2070" max="2070" width="13.88671875" style="121" customWidth="1"/>
    <col min="2071" max="2071" width="11.88671875" style="121" customWidth="1"/>
    <col min="2072" max="2072" width="7.6640625" style="121" customWidth="1"/>
    <col min="2073" max="2074" width="11" style="121" customWidth="1"/>
    <col min="2075" max="2075" width="8.44140625" style="121" customWidth="1"/>
    <col min="2076" max="2076" width="33.33203125" style="121" customWidth="1"/>
    <col min="2077" max="2316" width="17.109375" style="121"/>
    <col min="2317" max="2317" width="1.44140625" style="121" customWidth="1"/>
    <col min="2318" max="2318" width="10.44140625" style="121" customWidth="1"/>
    <col min="2319" max="2319" width="8.6640625" style="121" customWidth="1"/>
    <col min="2320" max="2320" width="12.109375" style="121" customWidth="1"/>
    <col min="2321" max="2321" width="4.88671875" style="121" customWidth="1"/>
    <col min="2322" max="2322" width="42.33203125" style="121" customWidth="1"/>
    <col min="2323" max="2323" width="33.33203125" style="121" customWidth="1"/>
    <col min="2324" max="2324" width="10.33203125" style="121" customWidth="1"/>
    <col min="2325" max="2325" width="15.109375" style="121" customWidth="1"/>
    <col min="2326" max="2326" width="13.88671875" style="121" customWidth="1"/>
    <col min="2327" max="2327" width="11.88671875" style="121" customWidth="1"/>
    <col min="2328" max="2328" width="7.6640625" style="121" customWidth="1"/>
    <col min="2329" max="2330" width="11" style="121" customWidth="1"/>
    <col min="2331" max="2331" width="8.44140625" style="121" customWidth="1"/>
    <col min="2332" max="2332" width="33.33203125" style="121" customWidth="1"/>
    <col min="2333" max="2572" width="17.109375" style="121"/>
    <col min="2573" max="2573" width="1.44140625" style="121" customWidth="1"/>
    <col min="2574" max="2574" width="10.44140625" style="121" customWidth="1"/>
    <col min="2575" max="2575" width="8.6640625" style="121" customWidth="1"/>
    <col min="2576" max="2576" width="12.109375" style="121" customWidth="1"/>
    <col min="2577" max="2577" width="4.88671875" style="121" customWidth="1"/>
    <col min="2578" max="2578" width="42.33203125" style="121" customWidth="1"/>
    <col min="2579" max="2579" width="33.33203125" style="121" customWidth="1"/>
    <col min="2580" max="2580" width="10.33203125" style="121" customWidth="1"/>
    <col min="2581" max="2581" width="15.109375" style="121" customWidth="1"/>
    <col min="2582" max="2582" width="13.88671875" style="121" customWidth="1"/>
    <col min="2583" max="2583" width="11.88671875" style="121" customWidth="1"/>
    <col min="2584" max="2584" width="7.6640625" style="121" customWidth="1"/>
    <col min="2585" max="2586" width="11" style="121" customWidth="1"/>
    <col min="2587" max="2587" width="8.44140625" style="121" customWidth="1"/>
    <col min="2588" max="2588" width="33.33203125" style="121" customWidth="1"/>
    <col min="2589" max="2828" width="17.109375" style="121"/>
    <col min="2829" max="2829" width="1.44140625" style="121" customWidth="1"/>
    <col min="2830" max="2830" width="10.44140625" style="121" customWidth="1"/>
    <col min="2831" max="2831" width="8.6640625" style="121" customWidth="1"/>
    <col min="2832" max="2832" width="12.109375" style="121" customWidth="1"/>
    <col min="2833" max="2833" width="4.88671875" style="121" customWidth="1"/>
    <col min="2834" max="2834" width="42.33203125" style="121" customWidth="1"/>
    <col min="2835" max="2835" width="33.33203125" style="121" customWidth="1"/>
    <col min="2836" max="2836" width="10.33203125" style="121" customWidth="1"/>
    <col min="2837" max="2837" width="15.109375" style="121" customWidth="1"/>
    <col min="2838" max="2838" width="13.88671875" style="121" customWidth="1"/>
    <col min="2839" max="2839" width="11.88671875" style="121" customWidth="1"/>
    <col min="2840" max="2840" width="7.6640625" style="121" customWidth="1"/>
    <col min="2841" max="2842" width="11" style="121" customWidth="1"/>
    <col min="2843" max="2843" width="8.44140625" style="121" customWidth="1"/>
    <col min="2844" max="2844" width="33.33203125" style="121" customWidth="1"/>
    <col min="2845" max="3084" width="17.109375" style="121"/>
    <col min="3085" max="3085" width="1.44140625" style="121" customWidth="1"/>
    <col min="3086" max="3086" width="10.44140625" style="121" customWidth="1"/>
    <col min="3087" max="3087" width="8.6640625" style="121" customWidth="1"/>
    <col min="3088" max="3088" width="12.109375" style="121" customWidth="1"/>
    <col min="3089" max="3089" width="4.88671875" style="121" customWidth="1"/>
    <col min="3090" max="3090" width="42.33203125" style="121" customWidth="1"/>
    <col min="3091" max="3091" width="33.33203125" style="121" customWidth="1"/>
    <col min="3092" max="3092" width="10.33203125" style="121" customWidth="1"/>
    <col min="3093" max="3093" width="15.109375" style="121" customWidth="1"/>
    <col min="3094" max="3094" width="13.88671875" style="121" customWidth="1"/>
    <col min="3095" max="3095" width="11.88671875" style="121" customWidth="1"/>
    <col min="3096" max="3096" width="7.6640625" style="121" customWidth="1"/>
    <col min="3097" max="3098" width="11" style="121" customWidth="1"/>
    <col min="3099" max="3099" width="8.44140625" style="121" customWidth="1"/>
    <col min="3100" max="3100" width="33.33203125" style="121" customWidth="1"/>
    <col min="3101" max="3340" width="17.109375" style="121"/>
    <col min="3341" max="3341" width="1.44140625" style="121" customWidth="1"/>
    <col min="3342" max="3342" width="10.44140625" style="121" customWidth="1"/>
    <col min="3343" max="3343" width="8.6640625" style="121" customWidth="1"/>
    <col min="3344" max="3344" width="12.109375" style="121" customWidth="1"/>
    <col min="3345" max="3345" width="4.88671875" style="121" customWidth="1"/>
    <col min="3346" max="3346" width="42.33203125" style="121" customWidth="1"/>
    <col min="3347" max="3347" width="33.33203125" style="121" customWidth="1"/>
    <col min="3348" max="3348" width="10.33203125" style="121" customWidth="1"/>
    <col min="3349" max="3349" width="15.109375" style="121" customWidth="1"/>
    <col min="3350" max="3350" width="13.88671875" style="121" customWidth="1"/>
    <col min="3351" max="3351" width="11.88671875" style="121" customWidth="1"/>
    <col min="3352" max="3352" width="7.6640625" style="121" customWidth="1"/>
    <col min="3353" max="3354" width="11" style="121" customWidth="1"/>
    <col min="3355" max="3355" width="8.44140625" style="121" customWidth="1"/>
    <col min="3356" max="3356" width="33.33203125" style="121" customWidth="1"/>
    <col min="3357" max="3596" width="17.109375" style="121"/>
    <col min="3597" max="3597" width="1.44140625" style="121" customWidth="1"/>
    <col min="3598" max="3598" width="10.44140625" style="121" customWidth="1"/>
    <col min="3599" max="3599" width="8.6640625" style="121" customWidth="1"/>
    <col min="3600" max="3600" width="12.109375" style="121" customWidth="1"/>
    <col min="3601" max="3601" width="4.88671875" style="121" customWidth="1"/>
    <col min="3602" max="3602" width="42.33203125" style="121" customWidth="1"/>
    <col min="3603" max="3603" width="33.33203125" style="121" customWidth="1"/>
    <col min="3604" max="3604" width="10.33203125" style="121" customWidth="1"/>
    <col min="3605" max="3605" width="15.109375" style="121" customWidth="1"/>
    <col min="3606" max="3606" width="13.88671875" style="121" customWidth="1"/>
    <col min="3607" max="3607" width="11.88671875" style="121" customWidth="1"/>
    <col min="3608" max="3608" width="7.6640625" style="121" customWidth="1"/>
    <col min="3609" max="3610" width="11" style="121" customWidth="1"/>
    <col min="3611" max="3611" width="8.44140625" style="121" customWidth="1"/>
    <col min="3612" max="3612" width="33.33203125" style="121" customWidth="1"/>
    <col min="3613" max="3852" width="17.109375" style="121"/>
    <col min="3853" max="3853" width="1.44140625" style="121" customWidth="1"/>
    <col min="3854" max="3854" width="10.44140625" style="121" customWidth="1"/>
    <col min="3855" max="3855" width="8.6640625" style="121" customWidth="1"/>
    <col min="3856" max="3856" width="12.109375" style="121" customWidth="1"/>
    <col min="3857" max="3857" width="4.88671875" style="121" customWidth="1"/>
    <col min="3858" max="3858" width="42.33203125" style="121" customWidth="1"/>
    <col min="3859" max="3859" width="33.33203125" style="121" customWidth="1"/>
    <col min="3860" max="3860" width="10.33203125" style="121" customWidth="1"/>
    <col min="3861" max="3861" width="15.109375" style="121" customWidth="1"/>
    <col min="3862" max="3862" width="13.88671875" style="121" customWidth="1"/>
    <col min="3863" max="3863" width="11.88671875" style="121" customWidth="1"/>
    <col min="3864" max="3864" width="7.6640625" style="121" customWidth="1"/>
    <col min="3865" max="3866" width="11" style="121" customWidth="1"/>
    <col min="3867" max="3867" width="8.44140625" style="121" customWidth="1"/>
    <col min="3868" max="3868" width="33.33203125" style="121" customWidth="1"/>
    <col min="3869" max="4108" width="17.109375" style="121"/>
    <col min="4109" max="4109" width="1.44140625" style="121" customWidth="1"/>
    <col min="4110" max="4110" width="10.44140625" style="121" customWidth="1"/>
    <col min="4111" max="4111" width="8.6640625" style="121" customWidth="1"/>
    <col min="4112" max="4112" width="12.109375" style="121" customWidth="1"/>
    <col min="4113" max="4113" width="4.88671875" style="121" customWidth="1"/>
    <col min="4114" max="4114" width="42.33203125" style="121" customWidth="1"/>
    <col min="4115" max="4115" width="33.33203125" style="121" customWidth="1"/>
    <col min="4116" max="4116" width="10.33203125" style="121" customWidth="1"/>
    <col min="4117" max="4117" width="15.109375" style="121" customWidth="1"/>
    <col min="4118" max="4118" width="13.88671875" style="121" customWidth="1"/>
    <col min="4119" max="4119" width="11.88671875" style="121" customWidth="1"/>
    <col min="4120" max="4120" width="7.6640625" style="121" customWidth="1"/>
    <col min="4121" max="4122" width="11" style="121" customWidth="1"/>
    <col min="4123" max="4123" width="8.44140625" style="121" customWidth="1"/>
    <col min="4124" max="4124" width="33.33203125" style="121" customWidth="1"/>
    <col min="4125" max="4364" width="17.109375" style="121"/>
    <col min="4365" max="4365" width="1.44140625" style="121" customWidth="1"/>
    <col min="4366" max="4366" width="10.44140625" style="121" customWidth="1"/>
    <col min="4367" max="4367" width="8.6640625" style="121" customWidth="1"/>
    <col min="4368" max="4368" width="12.109375" style="121" customWidth="1"/>
    <col min="4369" max="4369" width="4.88671875" style="121" customWidth="1"/>
    <col min="4370" max="4370" width="42.33203125" style="121" customWidth="1"/>
    <col min="4371" max="4371" width="33.33203125" style="121" customWidth="1"/>
    <col min="4372" max="4372" width="10.33203125" style="121" customWidth="1"/>
    <col min="4373" max="4373" width="15.109375" style="121" customWidth="1"/>
    <col min="4374" max="4374" width="13.88671875" style="121" customWidth="1"/>
    <col min="4375" max="4375" width="11.88671875" style="121" customWidth="1"/>
    <col min="4376" max="4376" width="7.6640625" style="121" customWidth="1"/>
    <col min="4377" max="4378" width="11" style="121" customWidth="1"/>
    <col min="4379" max="4379" width="8.44140625" style="121" customWidth="1"/>
    <col min="4380" max="4380" width="33.33203125" style="121" customWidth="1"/>
    <col min="4381" max="4620" width="17.109375" style="121"/>
    <col min="4621" max="4621" width="1.44140625" style="121" customWidth="1"/>
    <col min="4622" max="4622" width="10.44140625" style="121" customWidth="1"/>
    <col min="4623" max="4623" width="8.6640625" style="121" customWidth="1"/>
    <col min="4624" max="4624" width="12.109375" style="121" customWidth="1"/>
    <col min="4625" max="4625" width="4.88671875" style="121" customWidth="1"/>
    <col min="4626" max="4626" width="42.33203125" style="121" customWidth="1"/>
    <col min="4627" max="4627" width="33.33203125" style="121" customWidth="1"/>
    <col min="4628" max="4628" width="10.33203125" style="121" customWidth="1"/>
    <col min="4629" max="4629" width="15.109375" style="121" customWidth="1"/>
    <col min="4630" max="4630" width="13.88671875" style="121" customWidth="1"/>
    <col min="4631" max="4631" width="11.88671875" style="121" customWidth="1"/>
    <col min="4632" max="4632" width="7.6640625" style="121" customWidth="1"/>
    <col min="4633" max="4634" width="11" style="121" customWidth="1"/>
    <col min="4635" max="4635" width="8.44140625" style="121" customWidth="1"/>
    <col min="4636" max="4636" width="33.33203125" style="121" customWidth="1"/>
    <col min="4637" max="4876" width="17.109375" style="121"/>
    <col min="4877" max="4877" width="1.44140625" style="121" customWidth="1"/>
    <col min="4878" max="4878" width="10.44140625" style="121" customWidth="1"/>
    <col min="4879" max="4879" width="8.6640625" style="121" customWidth="1"/>
    <col min="4880" max="4880" width="12.109375" style="121" customWidth="1"/>
    <col min="4881" max="4881" width="4.88671875" style="121" customWidth="1"/>
    <col min="4882" max="4882" width="42.33203125" style="121" customWidth="1"/>
    <col min="4883" max="4883" width="33.33203125" style="121" customWidth="1"/>
    <col min="4884" max="4884" width="10.33203125" style="121" customWidth="1"/>
    <col min="4885" max="4885" width="15.109375" style="121" customWidth="1"/>
    <col min="4886" max="4886" width="13.88671875" style="121" customWidth="1"/>
    <col min="4887" max="4887" width="11.88671875" style="121" customWidth="1"/>
    <col min="4888" max="4888" width="7.6640625" style="121" customWidth="1"/>
    <col min="4889" max="4890" width="11" style="121" customWidth="1"/>
    <col min="4891" max="4891" width="8.44140625" style="121" customWidth="1"/>
    <col min="4892" max="4892" width="33.33203125" style="121" customWidth="1"/>
    <col min="4893" max="5132" width="17.109375" style="121"/>
    <col min="5133" max="5133" width="1.44140625" style="121" customWidth="1"/>
    <col min="5134" max="5134" width="10.44140625" style="121" customWidth="1"/>
    <col min="5135" max="5135" width="8.6640625" style="121" customWidth="1"/>
    <col min="5136" max="5136" width="12.109375" style="121" customWidth="1"/>
    <col min="5137" max="5137" width="4.88671875" style="121" customWidth="1"/>
    <col min="5138" max="5138" width="42.33203125" style="121" customWidth="1"/>
    <col min="5139" max="5139" width="33.33203125" style="121" customWidth="1"/>
    <col min="5140" max="5140" width="10.33203125" style="121" customWidth="1"/>
    <col min="5141" max="5141" width="15.109375" style="121" customWidth="1"/>
    <col min="5142" max="5142" width="13.88671875" style="121" customWidth="1"/>
    <col min="5143" max="5143" width="11.88671875" style="121" customWidth="1"/>
    <col min="5144" max="5144" width="7.6640625" style="121" customWidth="1"/>
    <col min="5145" max="5146" width="11" style="121" customWidth="1"/>
    <col min="5147" max="5147" width="8.44140625" style="121" customWidth="1"/>
    <col min="5148" max="5148" width="33.33203125" style="121" customWidth="1"/>
    <col min="5149" max="5388" width="17.109375" style="121"/>
    <col min="5389" max="5389" width="1.44140625" style="121" customWidth="1"/>
    <col min="5390" max="5390" width="10.44140625" style="121" customWidth="1"/>
    <col min="5391" max="5391" width="8.6640625" style="121" customWidth="1"/>
    <col min="5392" max="5392" width="12.109375" style="121" customWidth="1"/>
    <col min="5393" max="5393" width="4.88671875" style="121" customWidth="1"/>
    <col min="5394" max="5394" width="42.33203125" style="121" customWidth="1"/>
    <col min="5395" max="5395" width="33.33203125" style="121" customWidth="1"/>
    <col min="5396" max="5396" width="10.33203125" style="121" customWidth="1"/>
    <col min="5397" max="5397" width="15.109375" style="121" customWidth="1"/>
    <col min="5398" max="5398" width="13.88671875" style="121" customWidth="1"/>
    <col min="5399" max="5399" width="11.88671875" style="121" customWidth="1"/>
    <col min="5400" max="5400" width="7.6640625" style="121" customWidth="1"/>
    <col min="5401" max="5402" width="11" style="121" customWidth="1"/>
    <col min="5403" max="5403" width="8.44140625" style="121" customWidth="1"/>
    <col min="5404" max="5404" width="33.33203125" style="121" customWidth="1"/>
    <col min="5405" max="5644" width="17.109375" style="121"/>
    <col min="5645" max="5645" width="1.44140625" style="121" customWidth="1"/>
    <col min="5646" max="5646" width="10.44140625" style="121" customWidth="1"/>
    <col min="5647" max="5647" width="8.6640625" style="121" customWidth="1"/>
    <col min="5648" max="5648" width="12.109375" style="121" customWidth="1"/>
    <col min="5649" max="5649" width="4.88671875" style="121" customWidth="1"/>
    <col min="5650" max="5650" width="42.33203125" style="121" customWidth="1"/>
    <col min="5651" max="5651" width="33.33203125" style="121" customWidth="1"/>
    <col min="5652" max="5652" width="10.33203125" style="121" customWidth="1"/>
    <col min="5653" max="5653" width="15.109375" style="121" customWidth="1"/>
    <col min="5654" max="5654" width="13.88671875" style="121" customWidth="1"/>
    <col min="5655" max="5655" width="11.88671875" style="121" customWidth="1"/>
    <col min="5656" max="5656" width="7.6640625" style="121" customWidth="1"/>
    <col min="5657" max="5658" width="11" style="121" customWidth="1"/>
    <col min="5659" max="5659" width="8.44140625" style="121" customWidth="1"/>
    <col min="5660" max="5660" width="33.33203125" style="121" customWidth="1"/>
    <col min="5661" max="5900" width="17.109375" style="121"/>
    <col min="5901" max="5901" width="1.44140625" style="121" customWidth="1"/>
    <col min="5902" max="5902" width="10.44140625" style="121" customWidth="1"/>
    <col min="5903" max="5903" width="8.6640625" style="121" customWidth="1"/>
    <col min="5904" max="5904" width="12.109375" style="121" customWidth="1"/>
    <col min="5905" max="5905" width="4.88671875" style="121" customWidth="1"/>
    <col min="5906" max="5906" width="42.33203125" style="121" customWidth="1"/>
    <col min="5907" max="5907" width="33.33203125" style="121" customWidth="1"/>
    <col min="5908" max="5908" width="10.33203125" style="121" customWidth="1"/>
    <col min="5909" max="5909" width="15.109375" style="121" customWidth="1"/>
    <col min="5910" max="5910" width="13.88671875" style="121" customWidth="1"/>
    <col min="5911" max="5911" width="11.88671875" style="121" customWidth="1"/>
    <col min="5912" max="5912" width="7.6640625" style="121" customWidth="1"/>
    <col min="5913" max="5914" width="11" style="121" customWidth="1"/>
    <col min="5915" max="5915" width="8.44140625" style="121" customWidth="1"/>
    <col min="5916" max="5916" width="33.33203125" style="121" customWidth="1"/>
    <col min="5917" max="6156" width="17.109375" style="121"/>
    <col min="6157" max="6157" width="1.44140625" style="121" customWidth="1"/>
    <col min="6158" max="6158" width="10.44140625" style="121" customWidth="1"/>
    <col min="6159" max="6159" width="8.6640625" style="121" customWidth="1"/>
    <col min="6160" max="6160" width="12.109375" style="121" customWidth="1"/>
    <col min="6161" max="6161" width="4.88671875" style="121" customWidth="1"/>
    <col min="6162" max="6162" width="42.33203125" style="121" customWidth="1"/>
    <col min="6163" max="6163" width="33.33203125" style="121" customWidth="1"/>
    <col min="6164" max="6164" width="10.33203125" style="121" customWidth="1"/>
    <col min="6165" max="6165" width="15.109375" style="121" customWidth="1"/>
    <col min="6166" max="6166" width="13.88671875" style="121" customWidth="1"/>
    <col min="6167" max="6167" width="11.88671875" style="121" customWidth="1"/>
    <col min="6168" max="6168" width="7.6640625" style="121" customWidth="1"/>
    <col min="6169" max="6170" width="11" style="121" customWidth="1"/>
    <col min="6171" max="6171" width="8.44140625" style="121" customWidth="1"/>
    <col min="6172" max="6172" width="33.33203125" style="121" customWidth="1"/>
    <col min="6173" max="6412" width="17.109375" style="121"/>
    <col min="6413" max="6413" width="1.44140625" style="121" customWidth="1"/>
    <col min="6414" max="6414" width="10.44140625" style="121" customWidth="1"/>
    <col min="6415" max="6415" width="8.6640625" style="121" customWidth="1"/>
    <col min="6416" max="6416" width="12.109375" style="121" customWidth="1"/>
    <col min="6417" max="6417" width="4.88671875" style="121" customWidth="1"/>
    <col min="6418" max="6418" width="42.33203125" style="121" customWidth="1"/>
    <col min="6419" max="6419" width="33.33203125" style="121" customWidth="1"/>
    <col min="6420" max="6420" width="10.33203125" style="121" customWidth="1"/>
    <col min="6421" max="6421" width="15.109375" style="121" customWidth="1"/>
    <col min="6422" max="6422" width="13.88671875" style="121" customWidth="1"/>
    <col min="6423" max="6423" width="11.88671875" style="121" customWidth="1"/>
    <col min="6424" max="6424" width="7.6640625" style="121" customWidth="1"/>
    <col min="6425" max="6426" width="11" style="121" customWidth="1"/>
    <col min="6427" max="6427" width="8.44140625" style="121" customWidth="1"/>
    <col min="6428" max="6428" width="33.33203125" style="121" customWidth="1"/>
    <col min="6429" max="6668" width="17.109375" style="121"/>
    <col min="6669" max="6669" width="1.44140625" style="121" customWidth="1"/>
    <col min="6670" max="6670" width="10.44140625" style="121" customWidth="1"/>
    <col min="6671" max="6671" width="8.6640625" style="121" customWidth="1"/>
    <col min="6672" max="6672" width="12.109375" style="121" customWidth="1"/>
    <col min="6673" max="6673" width="4.88671875" style="121" customWidth="1"/>
    <col min="6674" max="6674" width="42.33203125" style="121" customWidth="1"/>
    <col min="6675" max="6675" width="33.33203125" style="121" customWidth="1"/>
    <col min="6676" max="6676" width="10.33203125" style="121" customWidth="1"/>
    <col min="6677" max="6677" width="15.109375" style="121" customWidth="1"/>
    <col min="6678" max="6678" width="13.88671875" style="121" customWidth="1"/>
    <col min="6679" max="6679" width="11.88671875" style="121" customWidth="1"/>
    <col min="6680" max="6680" width="7.6640625" style="121" customWidth="1"/>
    <col min="6681" max="6682" width="11" style="121" customWidth="1"/>
    <col min="6683" max="6683" width="8.44140625" style="121" customWidth="1"/>
    <col min="6684" max="6684" width="33.33203125" style="121" customWidth="1"/>
    <col min="6685" max="6924" width="17.109375" style="121"/>
    <col min="6925" max="6925" width="1.44140625" style="121" customWidth="1"/>
    <col min="6926" max="6926" width="10.44140625" style="121" customWidth="1"/>
    <col min="6927" max="6927" width="8.6640625" style="121" customWidth="1"/>
    <col min="6928" max="6928" width="12.109375" style="121" customWidth="1"/>
    <col min="6929" max="6929" width="4.88671875" style="121" customWidth="1"/>
    <col min="6930" max="6930" width="42.33203125" style="121" customWidth="1"/>
    <col min="6931" max="6931" width="33.33203125" style="121" customWidth="1"/>
    <col min="6932" max="6932" width="10.33203125" style="121" customWidth="1"/>
    <col min="6933" max="6933" width="15.109375" style="121" customWidth="1"/>
    <col min="6934" max="6934" width="13.88671875" style="121" customWidth="1"/>
    <col min="6935" max="6935" width="11.88671875" style="121" customWidth="1"/>
    <col min="6936" max="6936" width="7.6640625" style="121" customWidth="1"/>
    <col min="6937" max="6938" width="11" style="121" customWidth="1"/>
    <col min="6939" max="6939" width="8.44140625" style="121" customWidth="1"/>
    <col min="6940" max="6940" width="33.33203125" style="121" customWidth="1"/>
    <col min="6941" max="7180" width="17.109375" style="121"/>
    <col min="7181" max="7181" width="1.44140625" style="121" customWidth="1"/>
    <col min="7182" max="7182" width="10.44140625" style="121" customWidth="1"/>
    <col min="7183" max="7183" width="8.6640625" style="121" customWidth="1"/>
    <col min="7184" max="7184" width="12.109375" style="121" customWidth="1"/>
    <col min="7185" max="7185" width="4.88671875" style="121" customWidth="1"/>
    <col min="7186" max="7186" width="42.33203125" style="121" customWidth="1"/>
    <col min="7187" max="7187" width="33.33203125" style="121" customWidth="1"/>
    <col min="7188" max="7188" width="10.33203125" style="121" customWidth="1"/>
    <col min="7189" max="7189" width="15.109375" style="121" customWidth="1"/>
    <col min="7190" max="7190" width="13.88671875" style="121" customWidth="1"/>
    <col min="7191" max="7191" width="11.88671875" style="121" customWidth="1"/>
    <col min="7192" max="7192" width="7.6640625" style="121" customWidth="1"/>
    <col min="7193" max="7194" width="11" style="121" customWidth="1"/>
    <col min="7195" max="7195" width="8.44140625" style="121" customWidth="1"/>
    <col min="7196" max="7196" width="33.33203125" style="121" customWidth="1"/>
    <col min="7197" max="7436" width="17.109375" style="121"/>
    <col min="7437" max="7437" width="1.44140625" style="121" customWidth="1"/>
    <col min="7438" max="7438" width="10.44140625" style="121" customWidth="1"/>
    <col min="7439" max="7439" width="8.6640625" style="121" customWidth="1"/>
    <col min="7440" max="7440" width="12.109375" style="121" customWidth="1"/>
    <col min="7441" max="7441" width="4.88671875" style="121" customWidth="1"/>
    <col min="7442" max="7442" width="42.33203125" style="121" customWidth="1"/>
    <col min="7443" max="7443" width="33.33203125" style="121" customWidth="1"/>
    <col min="7444" max="7444" width="10.33203125" style="121" customWidth="1"/>
    <col min="7445" max="7445" width="15.109375" style="121" customWidth="1"/>
    <col min="7446" max="7446" width="13.88671875" style="121" customWidth="1"/>
    <col min="7447" max="7447" width="11.88671875" style="121" customWidth="1"/>
    <col min="7448" max="7448" width="7.6640625" style="121" customWidth="1"/>
    <col min="7449" max="7450" width="11" style="121" customWidth="1"/>
    <col min="7451" max="7451" width="8.44140625" style="121" customWidth="1"/>
    <col min="7452" max="7452" width="33.33203125" style="121" customWidth="1"/>
    <col min="7453" max="7692" width="17.109375" style="121"/>
    <col min="7693" max="7693" width="1.44140625" style="121" customWidth="1"/>
    <col min="7694" max="7694" width="10.44140625" style="121" customWidth="1"/>
    <col min="7695" max="7695" width="8.6640625" style="121" customWidth="1"/>
    <col min="7696" max="7696" width="12.109375" style="121" customWidth="1"/>
    <col min="7697" max="7697" width="4.88671875" style="121" customWidth="1"/>
    <col min="7698" max="7698" width="42.33203125" style="121" customWidth="1"/>
    <col min="7699" max="7699" width="33.33203125" style="121" customWidth="1"/>
    <col min="7700" max="7700" width="10.33203125" style="121" customWidth="1"/>
    <col min="7701" max="7701" width="15.109375" style="121" customWidth="1"/>
    <col min="7702" max="7702" width="13.88671875" style="121" customWidth="1"/>
    <col min="7703" max="7703" width="11.88671875" style="121" customWidth="1"/>
    <col min="7704" max="7704" width="7.6640625" style="121" customWidth="1"/>
    <col min="7705" max="7706" width="11" style="121" customWidth="1"/>
    <col min="7707" max="7707" width="8.44140625" style="121" customWidth="1"/>
    <col min="7708" max="7708" width="33.33203125" style="121" customWidth="1"/>
    <col min="7709" max="7948" width="17.109375" style="121"/>
    <col min="7949" max="7949" width="1.44140625" style="121" customWidth="1"/>
    <col min="7950" max="7950" width="10.44140625" style="121" customWidth="1"/>
    <col min="7951" max="7951" width="8.6640625" style="121" customWidth="1"/>
    <col min="7952" max="7952" width="12.109375" style="121" customWidth="1"/>
    <col min="7953" max="7953" width="4.88671875" style="121" customWidth="1"/>
    <col min="7954" max="7954" width="42.33203125" style="121" customWidth="1"/>
    <col min="7955" max="7955" width="33.33203125" style="121" customWidth="1"/>
    <col min="7956" max="7956" width="10.33203125" style="121" customWidth="1"/>
    <col min="7957" max="7957" width="15.109375" style="121" customWidth="1"/>
    <col min="7958" max="7958" width="13.88671875" style="121" customWidth="1"/>
    <col min="7959" max="7959" width="11.88671875" style="121" customWidth="1"/>
    <col min="7960" max="7960" width="7.6640625" style="121" customWidth="1"/>
    <col min="7961" max="7962" width="11" style="121" customWidth="1"/>
    <col min="7963" max="7963" width="8.44140625" style="121" customWidth="1"/>
    <col min="7964" max="7964" width="33.33203125" style="121" customWidth="1"/>
    <col min="7965" max="8204" width="17.109375" style="121"/>
    <col min="8205" max="8205" width="1.44140625" style="121" customWidth="1"/>
    <col min="8206" max="8206" width="10.44140625" style="121" customWidth="1"/>
    <col min="8207" max="8207" width="8.6640625" style="121" customWidth="1"/>
    <col min="8208" max="8208" width="12.109375" style="121" customWidth="1"/>
    <col min="8209" max="8209" width="4.88671875" style="121" customWidth="1"/>
    <col min="8210" max="8210" width="42.33203125" style="121" customWidth="1"/>
    <col min="8211" max="8211" width="33.33203125" style="121" customWidth="1"/>
    <col min="8212" max="8212" width="10.33203125" style="121" customWidth="1"/>
    <col min="8213" max="8213" width="15.109375" style="121" customWidth="1"/>
    <col min="8214" max="8214" width="13.88671875" style="121" customWidth="1"/>
    <col min="8215" max="8215" width="11.88671875" style="121" customWidth="1"/>
    <col min="8216" max="8216" width="7.6640625" style="121" customWidth="1"/>
    <col min="8217" max="8218" width="11" style="121" customWidth="1"/>
    <col min="8219" max="8219" width="8.44140625" style="121" customWidth="1"/>
    <col min="8220" max="8220" width="33.33203125" style="121" customWidth="1"/>
    <col min="8221" max="8460" width="17.109375" style="121"/>
    <col min="8461" max="8461" width="1.44140625" style="121" customWidth="1"/>
    <col min="8462" max="8462" width="10.44140625" style="121" customWidth="1"/>
    <col min="8463" max="8463" width="8.6640625" style="121" customWidth="1"/>
    <col min="8464" max="8464" width="12.109375" style="121" customWidth="1"/>
    <col min="8465" max="8465" width="4.88671875" style="121" customWidth="1"/>
    <col min="8466" max="8466" width="42.33203125" style="121" customWidth="1"/>
    <col min="8467" max="8467" width="33.33203125" style="121" customWidth="1"/>
    <col min="8468" max="8468" width="10.33203125" style="121" customWidth="1"/>
    <col min="8469" max="8469" width="15.109375" style="121" customWidth="1"/>
    <col min="8470" max="8470" width="13.88671875" style="121" customWidth="1"/>
    <col min="8471" max="8471" width="11.88671875" style="121" customWidth="1"/>
    <col min="8472" max="8472" width="7.6640625" style="121" customWidth="1"/>
    <col min="8473" max="8474" width="11" style="121" customWidth="1"/>
    <col min="8475" max="8475" width="8.44140625" style="121" customWidth="1"/>
    <col min="8476" max="8476" width="33.33203125" style="121" customWidth="1"/>
    <col min="8477" max="8716" width="17.109375" style="121"/>
    <col min="8717" max="8717" width="1.44140625" style="121" customWidth="1"/>
    <col min="8718" max="8718" width="10.44140625" style="121" customWidth="1"/>
    <col min="8719" max="8719" width="8.6640625" style="121" customWidth="1"/>
    <col min="8720" max="8720" width="12.109375" style="121" customWidth="1"/>
    <col min="8721" max="8721" width="4.88671875" style="121" customWidth="1"/>
    <col min="8722" max="8722" width="42.33203125" style="121" customWidth="1"/>
    <col min="8723" max="8723" width="33.33203125" style="121" customWidth="1"/>
    <col min="8724" max="8724" width="10.33203125" style="121" customWidth="1"/>
    <col min="8725" max="8725" width="15.109375" style="121" customWidth="1"/>
    <col min="8726" max="8726" width="13.88671875" style="121" customWidth="1"/>
    <col min="8727" max="8727" width="11.88671875" style="121" customWidth="1"/>
    <col min="8728" max="8728" width="7.6640625" style="121" customWidth="1"/>
    <col min="8729" max="8730" width="11" style="121" customWidth="1"/>
    <col min="8731" max="8731" width="8.44140625" style="121" customWidth="1"/>
    <col min="8732" max="8732" width="33.33203125" style="121" customWidth="1"/>
    <col min="8733" max="8972" width="17.109375" style="121"/>
    <col min="8973" max="8973" width="1.44140625" style="121" customWidth="1"/>
    <col min="8974" max="8974" width="10.44140625" style="121" customWidth="1"/>
    <col min="8975" max="8975" width="8.6640625" style="121" customWidth="1"/>
    <col min="8976" max="8976" width="12.109375" style="121" customWidth="1"/>
    <col min="8977" max="8977" width="4.88671875" style="121" customWidth="1"/>
    <col min="8978" max="8978" width="42.33203125" style="121" customWidth="1"/>
    <col min="8979" max="8979" width="33.33203125" style="121" customWidth="1"/>
    <col min="8980" max="8980" width="10.33203125" style="121" customWidth="1"/>
    <col min="8981" max="8981" width="15.109375" style="121" customWidth="1"/>
    <col min="8982" max="8982" width="13.88671875" style="121" customWidth="1"/>
    <col min="8983" max="8983" width="11.88671875" style="121" customWidth="1"/>
    <col min="8984" max="8984" width="7.6640625" style="121" customWidth="1"/>
    <col min="8985" max="8986" width="11" style="121" customWidth="1"/>
    <col min="8987" max="8987" width="8.44140625" style="121" customWidth="1"/>
    <col min="8988" max="8988" width="33.33203125" style="121" customWidth="1"/>
    <col min="8989" max="9228" width="17.109375" style="121"/>
    <col min="9229" max="9229" width="1.44140625" style="121" customWidth="1"/>
    <col min="9230" max="9230" width="10.44140625" style="121" customWidth="1"/>
    <col min="9231" max="9231" width="8.6640625" style="121" customWidth="1"/>
    <col min="9232" max="9232" width="12.109375" style="121" customWidth="1"/>
    <col min="9233" max="9233" width="4.88671875" style="121" customWidth="1"/>
    <col min="9234" max="9234" width="42.33203125" style="121" customWidth="1"/>
    <col min="9235" max="9235" width="33.33203125" style="121" customWidth="1"/>
    <col min="9236" max="9236" width="10.33203125" style="121" customWidth="1"/>
    <col min="9237" max="9237" width="15.109375" style="121" customWidth="1"/>
    <col min="9238" max="9238" width="13.88671875" style="121" customWidth="1"/>
    <col min="9239" max="9239" width="11.88671875" style="121" customWidth="1"/>
    <col min="9240" max="9240" width="7.6640625" style="121" customWidth="1"/>
    <col min="9241" max="9242" width="11" style="121" customWidth="1"/>
    <col min="9243" max="9243" width="8.44140625" style="121" customWidth="1"/>
    <col min="9244" max="9244" width="33.33203125" style="121" customWidth="1"/>
    <col min="9245" max="9484" width="17.109375" style="121"/>
    <col min="9485" max="9485" width="1.44140625" style="121" customWidth="1"/>
    <col min="9486" max="9486" width="10.44140625" style="121" customWidth="1"/>
    <col min="9487" max="9487" width="8.6640625" style="121" customWidth="1"/>
    <col min="9488" max="9488" width="12.109375" style="121" customWidth="1"/>
    <col min="9489" max="9489" width="4.88671875" style="121" customWidth="1"/>
    <col min="9490" max="9490" width="42.33203125" style="121" customWidth="1"/>
    <col min="9491" max="9491" width="33.33203125" style="121" customWidth="1"/>
    <col min="9492" max="9492" width="10.33203125" style="121" customWidth="1"/>
    <col min="9493" max="9493" width="15.109375" style="121" customWidth="1"/>
    <col min="9494" max="9494" width="13.88671875" style="121" customWidth="1"/>
    <col min="9495" max="9495" width="11.88671875" style="121" customWidth="1"/>
    <col min="9496" max="9496" width="7.6640625" style="121" customWidth="1"/>
    <col min="9497" max="9498" width="11" style="121" customWidth="1"/>
    <col min="9499" max="9499" width="8.44140625" style="121" customWidth="1"/>
    <col min="9500" max="9500" width="33.33203125" style="121" customWidth="1"/>
    <col min="9501" max="9740" width="17.109375" style="121"/>
    <col min="9741" max="9741" width="1.44140625" style="121" customWidth="1"/>
    <col min="9742" max="9742" width="10.44140625" style="121" customWidth="1"/>
    <col min="9743" max="9743" width="8.6640625" style="121" customWidth="1"/>
    <col min="9744" max="9744" width="12.109375" style="121" customWidth="1"/>
    <col min="9745" max="9745" width="4.88671875" style="121" customWidth="1"/>
    <col min="9746" max="9746" width="42.33203125" style="121" customWidth="1"/>
    <col min="9747" max="9747" width="33.33203125" style="121" customWidth="1"/>
    <col min="9748" max="9748" width="10.33203125" style="121" customWidth="1"/>
    <col min="9749" max="9749" width="15.109375" style="121" customWidth="1"/>
    <col min="9750" max="9750" width="13.88671875" style="121" customWidth="1"/>
    <col min="9751" max="9751" width="11.88671875" style="121" customWidth="1"/>
    <col min="9752" max="9752" width="7.6640625" style="121" customWidth="1"/>
    <col min="9753" max="9754" width="11" style="121" customWidth="1"/>
    <col min="9755" max="9755" width="8.44140625" style="121" customWidth="1"/>
    <col min="9756" max="9756" width="33.33203125" style="121" customWidth="1"/>
    <col min="9757" max="9996" width="17.109375" style="121"/>
    <col min="9997" max="9997" width="1.44140625" style="121" customWidth="1"/>
    <col min="9998" max="9998" width="10.44140625" style="121" customWidth="1"/>
    <col min="9999" max="9999" width="8.6640625" style="121" customWidth="1"/>
    <col min="10000" max="10000" width="12.109375" style="121" customWidth="1"/>
    <col min="10001" max="10001" width="4.88671875" style="121" customWidth="1"/>
    <col min="10002" max="10002" width="42.33203125" style="121" customWidth="1"/>
    <col min="10003" max="10003" width="33.33203125" style="121" customWidth="1"/>
    <col min="10004" max="10004" width="10.33203125" style="121" customWidth="1"/>
    <col min="10005" max="10005" width="15.109375" style="121" customWidth="1"/>
    <col min="10006" max="10006" width="13.88671875" style="121" customWidth="1"/>
    <col min="10007" max="10007" width="11.88671875" style="121" customWidth="1"/>
    <col min="10008" max="10008" width="7.6640625" style="121" customWidth="1"/>
    <col min="10009" max="10010" width="11" style="121" customWidth="1"/>
    <col min="10011" max="10011" width="8.44140625" style="121" customWidth="1"/>
    <col min="10012" max="10012" width="33.33203125" style="121" customWidth="1"/>
    <col min="10013" max="10252" width="17.109375" style="121"/>
    <col min="10253" max="10253" width="1.44140625" style="121" customWidth="1"/>
    <col min="10254" max="10254" width="10.44140625" style="121" customWidth="1"/>
    <col min="10255" max="10255" width="8.6640625" style="121" customWidth="1"/>
    <col min="10256" max="10256" width="12.109375" style="121" customWidth="1"/>
    <col min="10257" max="10257" width="4.88671875" style="121" customWidth="1"/>
    <col min="10258" max="10258" width="42.33203125" style="121" customWidth="1"/>
    <col min="10259" max="10259" width="33.33203125" style="121" customWidth="1"/>
    <col min="10260" max="10260" width="10.33203125" style="121" customWidth="1"/>
    <col min="10261" max="10261" width="15.109375" style="121" customWidth="1"/>
    <col min="10262" max="10262" width="13.88671875" style="121" customWidth="1"/>
    <col min="10263" max="10263" width="11.88671875" style="121" customWidth="1"/>
    <col min="10264" max="10264" width="7.6640625" style="121" customWidth="1"/>
    <col min="10265" max="10266" width="11" style="121" customWidth="1"/>
    <col min="10267" max="10267" width="8.44140625" style="121" customWidth="1"/>
    <col min="10268" max="10268" width="33.33203125" style="121" customWidth="1"/>
    <col min="10269" max="10508" width="17.109375" style="121"/>
    <col min="10509" max="10509" width="1.44140625" style="121" customWidth="1"/>
    <col min="10510" max="10510" width="10.44140625" style="121" customWidth="1"/>
    <col min="10511" max="10511" width="8.6640625" style="121" customWidth="1"/>
    <col min="10512" max="10512" width="12.109375" style="121" customWidth="1"/>
    <col min="10513" max="10513" width="4.88671875" style="121" customWidth="1"/>
    <col min="10514" max="10514" width="42.33203125" style="121" customWidth="1"/>
    <col min="10515" max="10515" width="33.33203125" style="121" customWidth="1"/>
    <col min="10516" max="10516" width="10.33203125" style="121" customWidth="1"/>
    <col min="10517" max="10517" width="15.109375" style="121" customWidth="1"/>
    <col min="10518" max="10518" width="13.88671875" style="121" customWidth="1"/>
    <col min="10519" max="10519" width="11.88671875" style="121" customWidth="1"/>
    <col min="10520" max="10520" width="7.6640625" style="121" customWidth="1"/>
    <col min="10521" max="10522" width="11" style="121" customWidth="1"/>
    <col min="10523" max="10523" width="8.44140625" style="121" customWidth="1"/>
    <col min="10524" max="10524" width="33.33203125" style="121" customWidth="1"/>
    <col min="10525" max="10764" width="17.109375" style="121"/>
    <col min="10765" max="10765" width="1.44140625" style="121" customWidth="1"/>
    <col min="10766" max="10766" width="10.44140625" style="121" customWidth="1"/>
    <col min="10767" max="10767" width="8.6640625" style="121" customWidth="1"/>
    <col min="10768" max="10768" width="12.109375" style="121" customWidth="1"/>
    <col min="10769" max="10769" width="4.88671875" style="121" customWidth="1"/>
    <col min="10770" max="10770" width="42.33203125" style="121" customWidth="1"/>
    <col min="10771" max="10771" width="33.33203125" style="121" customWidth="1"/>
    <col min="10772" max="10772" width="10.33203125" style="121" customWidth="1"/>
    <col min="10773" max="10773" width="15.109375" style="121" customWidth="1"/>
    <col min="10774" max="10774" width="13.88671875" style="121" customWidth="1"/>
    <col min="10775" max="10775" width="11.88671875" style="121" customWidth="1"/>
    <col min="10776" max="10776" width="7.6640625" style="121" customWidth="1"/>
    <col min="10777" max="10778" width="11" style="121" customWidth="1"/>
    <col min="10779" max="10779" width="8.44140625" style="121" customWidth="1"/>
    <col min="10780" max="10780" width="33.33203125" style="121" customWidth="1"/>
    <col min="10781" max="11020" width="17.109375" style="121"/>
    <col min="11021" max="11021" width="1.44140625" style="121" customWidth="1"/>
    <col min="11022" max="11022" width="10.44140625" style="121" customWidth="1"/>
    <col min="11023" max="11023" width="8.6640625" style="121" customWidth="1"/>
    <col min="11024" max="11024" width="12.109375" style="121" customWidth="1"/>
    <col min="11025" max="11025" width="4.88671875" style="121" customWidth="1"/>
    <col min="11026" max="11026" width="42.33203125" style="121" customWidth="1"/>
    <col min="11027" max="11027" width="33.33203125" style="121" customWidth="1"/>
    <col min="11028" max="11028" width="10.33203125" style="121" customWidth="1"/>
    <col min="11029" max="11029" width="15.109375" style="121" customWidth="1"/>
    <col min="11030" max="11030" width="13.88671875" style="121" customWidth="1"/>
    <col min="11031" max="11031" width="11.88671875" style="121" customWidth="1"/>
    <col min="11032" max="11032" width="7.6640625" style="121" customWidth="1"/>
    <col min="11033" max="11034" width="11" style="121" customWidth="1"/>
    <col min="11035" max="11035" width="8.44140625" style="121" customWidth="1"/>
    <col min="11036" max="11036" width="33.33203125" style="121" customWidth="1"/>
    <col min="11037" max="11276" width="17.109375" style="121"/>
    <col min="11277" max="11277" width="1.44140625" style="121" customWidth="1"/>
    <col min="11278" max="11278" width="10.44140625" style="121" customWidth="1"/>
    <col min="11279" max="11279" width="8.6640625" style="121" customWidth="1"/>
    <col min="11280" max="11280" width="12.109375" style="121" customWidth="1"/>
    <col min="11281" max="11281" width="4.88671875" style="121" customWidth="1"/>
    <col min="11282" max="11282" width="42.33203125" style="121" customWidth="1"/>
    <col min="11283" max="11283" width="33.33203125" style="121" customWidth="1"/>
    <col min="11284" max="11284" width="10.33203125" style="121" customWidth="1"/>
    <col min="11285" max="11285" width="15.109375" style="121" customWidth="1"/>
    <col min="11286" max="11286" width="13.88671875" style="121" customWidth="1"/>
    <col min="11287" max="11287" width="11.88671875" style="121" customWidth="1"/>
    <col min="11288" max="11288" width="7.6640625" style="121" customWidth="1"/>
    <col min="11289" max="11290" width="11" style="121" customWidth="1"/>
    <col min="11291" max="11291" width="8.44140625" style="121" customWidth="1"/>
    <col min="11292" max="11292" width="33.33203125" style="121" customWidth="1"/>
    <col min="11293" max="11532" width="17.109375" style="121"/>
    <col min="11533" max="11533" width="1.44140625" style="121" customWidth="1"/>
    <col min="11534" max="11534" width="10.44140625" style="121" customWidth="1"/>
    <col min="11535" max="11535" width="8.6640625" style="121" customWidth="1"/>
    <col min="11536" max="11536" width="12.109375" style="121" customWidth="1"/>
    <col min="11537" max="11537" width="4.88671875" style="121" customWidth="1"/>
    <col min="11538" max="11538" width="42.33203125" style="121" customWidth="1"/>
    <col min="11539" max="11539" width="33.33203125" style="121" customWidth="1"/>
    <col min="11540" max="11540" width="10.33203125" style="121" customWidth="1"/>
    <col min="11541" max="11541" width="15.109375" style="121" customWidth="1"/>
    <col min="11542" max="11542" width="13.88671875" style="121" customWidth="1"/>
    <col min="11543" max="11543" width="11.88671875" style="121" customWidth="1"/>
    <col min="11544" max="11544" width="7.6640625" style="121" customWidth="1"/>
    <col min="11545" max="11546" width="11" style="121" customWidth="1"/>
    <col min="11547" max="11547" width="8.44140625" style="121" customWidth="1"/>
    <col min="11548" max="11548" width="33.33203125" style="121" customWidth="1"/>
    <col min="11549" max="11788" width="17.109375" style="121"/>
    <col min="11789" max="11789" width="1.44140625" style="121" customWidth="1"/>
    <col min="11790" max="11790" width="10.44140625" style="121" customWidth="1"/>
    <col min="11791" max="11791" width="8.6640625" style="121" customWidth="1"/>
    <col min="11792" max="11792" width="12.109375" style="121" customWidth="1"/>
    <col min="11793" max="11793" width="4.88671875" style="121" customWidth="1"/>
    <col min="11794" max="11794" width="42.33203125" style="121" customWidth="1"/>
    <col min="11795" max="11795" width="33.33203125" style="121" customWidth="1"/>
    <col min="11796" max="11796" width="10.33203125" style="121" customWidth="1"/>
    <col min="11797" max="11797" width="15.109375" style="121" customWidth="1"/>
    <col min="11798" max="11798" width="13.88671875" style="121" customWidth="1"/>
    <col min="11799" max="11799" width="11.88671875" style="121" customWidth="1"/>
    <col min="11800" max="11800" width="7.6640625" style="121" customWidth="1"/>
    <col min="11801" max="11802" width="11" style="121" customWidth="1"/>
    <col min="11803" max="11803" width="8.44140625" style="121" customWidth="1"/>
    <col min="11804" max="11804" width="33.33203125" style="121" customWidth="1"/>
    <col min="11805" max="12044" width="17.109375" style="121"/>
    <col min="12045" max="12045" width="1.44140625" style="121" customWidth="1"/>
    <col min="12046" max="12046" width="10.44140625" style="121" customWidth="1"/>
    <col min="12047" max="12047" width="8.6640625" style="121" customWidth="1"/>
    <col min="12048" max="12048" width="12.109375" style="121" customWidth="1"/>
    <col min="12049" max="12049" width="4.88671875" style="121" customWidth="1"/>
    <col min="12050" max="12050" width="42.33203125" style="121" customWidth="1"/>
    <col min="12051" max="12051" width="33.33203125" style="121" customWidth="1"/>
    <col min="12052" max="12052" width="10.33203125" style="121" customWidth="1"/>
    <col min="12053" max="12053" width="15.109375" style="121" customWidth="1"/>
    <col min="12054" max="12054" width="13.88671875" style="121" customWidth="1"/>
    <col min="12055" max="12055" width="11.88671875" style="121" customWidth="1"/>
    <col min="12056" max="12056" width="7.6640625" style="121" customWidth="1"/>
    <col min="12057" max="12058" width="11" style="121" customWidth="1"/>
    <col min="12059" max="12059" width="8.44140625" style="121" customWidth="1"/>
    <col min="12060" max="12060" width="33.33203125" style="121" customWidth="1"/>
    <col min="12061" max="12300" width="17.109375" style="121"/>
    <col min="12301" max="12301" width="1.44140625" style="121" customWidth="1"/>
    <col min="12302" max="12302" width="10.44140625" style="121" customWidth="1"/>
    <col min="12303" max="12303" width="8.6640625" style="121" customWidth="1"/>
    <col min="12304" max="12304" width="12.109375" style="121" customWidth="1"/>
    <col min="12305" max="12305" width="4.88671875" style="121" customWidth="1"/>
    <col min="12306" max="12306" width="42.33203125" style="121" customWidth="1"/>
    <col min="12307" max="12307" width="33.33203125" style="121" customWidth="1"/>
    <col min="12308" max="12308" width="10.33203125" style="121" customWidth="1"/>
    <col min="12309" max="12309" width="15.109375" style="121" customWidth="1"/>
    <col min="12310" max="12310" width="13.88671875" style="121" customWidth="1"/>
    <col min="12311" max="12311" width="11.88671875" style="121" customWidth="1"/>
    <col min="12312" max="12312" width="7.6640625" style="121" customWidth="1"/>
    <col min="12313" max="12314" width="11" style="121" customWidth="1"/>
    <col min="12315" max="12315" width="8.44140625" style="121" customWidth="1"/>
    <col min="12316" max="12316" width="33.33203125" style="121" customWidth="1"/>
    <col min="12317" max="12556" width="17.109375" style="121"/>
    <col min="12557" max="12557" width="1.44140625" style="121" customWidth="1"/>
    <col min="12558" max="12558" width="10.44140625" style="121" customWidth="1"/>
    <col min="12559" max="12559" width="8.6640625" style="121" customWidth="1"/>
    <col min="12560" max="12560" width="12.109375" style="121" customWidth="1"/>
    <col min="12561" max="12561" width="4.88671875" style="121" customWidth="1"/>
    <col min="12562" max="12562" width="42.33203125" style="121" customWidth="1"/>
    <col min="12563" max="12563" width="33.33203125" style="121" customWidth="1"/>
    <col min="12564" max="12564" width="10.33203125" style="121" customWidth="1"/>
    <col min="12565" max="12565" width="15.109375" style="121" customWidth="1"/>
    <col min="12566" max="12566" width="13.88671875" style="121" customWidth="1"/>
    <col min="12567" max="12567" width="11.88671875" style="121" customWidth="1"/>
    <col min="12568" max="12568" width="7.6640625" style="121" customWidth="1"/>
    <col min="12569" max="12570" width="11" style="121" customWidth="1"/>
    <col min="12571" max="12571" width="8.44140625" style="121" customWidth="1"/>
    <col min="12572" max="12572" width="33.33203125" style="121" customWidth="1"/>
    <col min="12573" max="12812" width="17.109375" style="121"/>
    <col min="12813" max="12813" width="1.44140625" style="121" customWidth="1"/>
    <col min="12814" max="12814" width="10.44140625" style="121" customWidth="1"/>
    <col min="12815" max="12815" width="8.6640625" style="121" customWidth="1"/>
    <col min="12816" max="12816" width="12.109375" style="121" customWidth="1"/>
    <col min="12817" max="12817" width="4.88671875" style="121" customWidth="1"/>
    <col min="12818" max="12818" width="42.33203125" style="121" customWidth="1"/>
    <col min="12819" max="12819" width="33.33203125" style="121" customWidth="1"/>
    <col min="12820" max="12820" width="10.33203125" style="121" customWidth="1"/>
    <col min="12821" max="12821" width="15.109375" style="121" customWidth="1"/>
    <col min="12822" max="12822" width="13.88671875" style="121" customWidth="1"/>
    <col min="12823" max="12823" width="11.88671875" style="121" customWidth="1"/>
    <col min="12824" max="12824" width="7.6640625" style="121" customWidth="1"/>
    <col min="12825" max="12826" width="11" style="121" customWidth="1"/>
    <col min="12827" max="12827" width="8.44140625" style="121" customWidth="1"/>
    <col min="12828" max="12828" width="33.33203125" style="121" customWidth="1"/>
    <col min="12829" max="13068" width="17.109375" style="121"/>
    <col min="13069" max="13069" width="1.44140625" style="121" customWidth="1"/>
    <col min="13070" max="13070" width="10.44140625" style="121" customWidth="1"/>
    <col min="13071" max="13071" width="8.6640625" style="121" customWidth="1"/>
    <col min="13072" max="13072" width="12.109375" style="121" customWidth="1"/>
    <col min="13073" max="13073" width="4.88671875" style="121" customWidth="1"/>
    <col min="13074" max="13074" width="42.33203125" style="121" customWidth="1"/>
    <col min="13075" max="13075" width="33.33203125" style="121" customWidth="1"/>
    <col min="13076" max="13076" width="10.33203125" style="121" customWidth="1"/>
    <col min="13077" max="13077" width="15.109375" style="121" customWidth="1"/>
    <col min="13078" max="13078" width="13.88671875" style="121" customWidth="1"/>
    <col min="13079" max="13079" width="11.88671875" style="121" customWidth="1"/>
    <col min="13080" max="13080" width="7.6640625" style="121" customWidth="1"/>
    <col min="13081" max="13082" width="11" style="121" customWidth="1"/>
    <col min="13083" max="13083" width="8.44140625" style="121" customWidth="1"/>
    <col min="13084" max="13084" width="33.33203125" style="121" customWidth="1"/>
    <col min="13085" max="13324" width="17.109375" style="121"/>
    <col min="13325" max="13325" width="1.44140625" style="121" customWidth="1"/>
    <col min="13326" max="13326" width="10.44140625" style="121" customWidth="1"/>
    <col min="13327" max="13327" width="8.6640625" style="121" customWidth="1"/>
    <col min="13328" max="13328" width="12.109375" style="121" customWidth="1"/>
    <col min="13329" max="13329" width="4.88671875" style="121" customWidth="1"/>
    <col min="13330" max="13330" width="42.33203125" style="121" customWidth="1"/>
    <col min="13331" max="13331" width="33.33203125" style="121" customWidth="1"/>
    <col min="13332" max="13332" width="10.33203125" style="121" customWidth="1"/>
    <col min="13333" max="13333" width="15.109375" style="121" customWidth="1"/>
    <col min="13334" max="13334" width="13.88671875" style="121" customWidth="1"/>
    <col min="13335" max="13335" width="11.88671875" style="121" customWidth="1"/>
    <col min="13336" max="13336" width="7.6640625" style="121" customWidth="1"/>
    <col min="13337" max="13338" width="11" style="121" customWidth="1"/>
    <col min="13339" max="13339" width="8.44140625" style="121" customWidth="1"/>
    <col min="13340" max="13340" width="33.33203125" style="121" customWidth="1"/>
    <col min="13341" max="13580" width="17.109375" style="121"/>
    <col min="13581" max="13581" width="1.44140625" style="121" customWidth="1"/>
    <col min="13582" max="13582" width="10.44140625" style="121" customWidth="1"/>
    <col min="13583" max="13583" width="8.6640625" style="121" customWidth="1"/>
    <col min="13584" max="13584" width="12.109375" style="121" customWidth="1"/>
    <col min="13585" max="13585" width="4.88671875" style="121" customWidth="1"/>
    <col min="13586" max="13586" width="42.33203125" style="121" customWidth="1"/>
    <col min="13587" max="13587" width="33.33203125" style="121" customWidth="1"/>
    <col min="13588" max="13588" width="10.33203125" style="121" customWidth="1"/>
    <col min="13589" max="13589" width="15.109375" style="121" customWidth="1"/>
    <col min="13590" max="13590" width="13.88671875" style="121" customWidth="1"/>
    <col min="13591" max="13591" width="11.88671875" style="121" customWidth="1"/>
    <col min="13592" max="13592" width="7.6640625" style="121" customWidth="1"/>
    <col min="13593" max="13594" width="11" style="121" customWidth="1"/>
    <col min="13595" max="13595" width="8.44140625" style="121" customWidth="1"/>
    <col min="13596" max="13596" width="33.33203125" style="121" customWidth="1"/>
    <col min="13597" max="13836" width="17.109375" style="121"/>
    <col min="13837" max="13837" width="1.44140625" style="121" customWidth="1"/>
    <col min="13838" max="13838" width="10.44140625" style="121" customWidth="1"/>
    <col min="13839" max="13839" width="8.6640625" style="121" customWidth="1"/>
    <col min="13840" max="13840" width="12.109375" style="121" customWidth="1"/>
    <col min="13841" max="13841" width="4.88671875" style="121" customWidth="1"/>
    <col min="13842" max="13842" width="42.33203125" style="121" customWidth="1"/>
    <col min="13843" max="13843" width="33.33203125" style="121" customWidth="1"/>
    <col min="13844" max="13844" width="10.33203125" style="121" customWidth="1"/>
    <col min="13845" max="13845" width="15.109375" style="121" customWidth="1"/>
    <col min="13846" max="13846" width="13.88671875" style="121" customWidth="1"/>
    <col min="13847" max="13847" width="11.88671875" style="121" customWidth="1"/>
    <col min="13848" max="13848" width="7.6640625" style="121" customWidth="1"/>
    <col min="13849" max="13850" width="11" style="121" customWidth="1"/>
    <col min="13851" max="13851" width="8.44140625" style="121" customWidth="1"/>
    <col min="13852" max="13852" width="33.33203125" style="121" customWidth="1"/>
    <col min="13853" max="14092" width="17.109375" style="121"/>
    <col min="14093" max="14093" width="1.44140625" style="121" customWidth="1"/>
    <col min="14094" max="14094" width="10.44140625" style="121" customWidth="1"/>
    <col min="14095" max="14095" width="8.6640625" style="121" customWidth="1"/>
    <col min="14096" max="14096" width="12.109375" style="121" customWidth="1"/>
    <col min="14097" max="14097" width="4.88671875" style="121" customWidth="1"/>
    <col min="14098" max="14098" width="42.33203125" style="121" customWidth="1"/>
    <col min="14099" max="14099" width="33.33203125" style="121" customWidth="1"/>
    <col min="14100" max="14100" width="10.33203125" style="121" customWidth="1"/>
    <col min="14101" max="14101" width="15.109375" style="121" customWidth="1"/>
    <col min="14102" max="14102" width="13.88671875" style="121" customWidth="1"/>
    <col min="14103" max="14103" width="11.88671875" style="121" customWidth="1"/>
    <col min="14104" max="14104" width="7.6640625" style="121" customWidth="1"/>
    <col min="14105" max="14106" width="11" style="121" customWidth="1"/>
    <col min="14107" max="14107" width="8.44140625" style="121" customWidth="1"/>
    <col min="14108" max="14108" width="33.33203125" style="121" customWidth="1"/>
    <col min="14109" max="14348" width="17.109375" style="121"/>
    <col min="14349" max="14349" width="1.44140625" style="121" customWidth="1"/>
    <col min="14350" max="14350" width="10.44140625" style="121" customWidth="1"/>
    <col min="14351" max="14351" width="8.6640625" style="121" customWidth="1"/>
    <col min="14352" max="14352" width="12.109375" style="121" customWidth="1"/>
    <col min="14353" max="14353" width="4.88671875" style="121" customWidth="1"/>
    <col min="14354" max="14354" width="42.33203125" style="121" customWidth="1"/>
    <col min="14355" max="14355" width="33.33203125" style="121" customWidth="1"/>
    <col min="14356" max="14356" width="10.33203125" style="121" customWidth="1"/>
    <col min="14357" max="14357" width="15.109375" style="121" customWidth="1"/>
    <col min="14358" max="14358" width="13.88671875" style="121" customWidth="1"/>
    <col min="14359" max="14359" width="11.88671875" style="121" customWidth="1"/>
    <col min="14360" max="14360" width="7.6640625" style="121" customWidth="1"/>
    <col min="14361" max="14362" width="11" style="121" customWidth="1"/>
    <col min="14363" max="14363" width="8.44140625" style="121" customWidth="1"/>
    <col min="14364" max="14364" width="33.33203125" style="121" customWidth="1"/>
    <col min="14365" max="14604" width="17.109375" style="121"/>
    <col min="14605" max="14605" width="1.44140625" style="121" customWidth="1"/>
    <col min="14606" max="14606" width="10.44140625" style="121" customWidth="1"/>
    <col min="14607" max="14607" width="8.6640625" style="121" customWidth="1"/>
    <col min="14608" max="14608" width="12.109375" style="121" customWidth="1"/>
    <col min="14609" max="14609" width="4.88671875" style="121" customWidth="1"/>
    <col min="14610" max="14610" width="42.33203125" style="121" customWidth="1"/>
    <col min="14611" max="14611" width="33.33203125" style="121" customWidth="1"/>
    <col min="14612" max="14612" width="10.33203125" style="121" customWidth="1"/>
    <col min="14613" max="14613" width="15.109375" style="121" customWidth="1"/>
    <col min="14614" max="14614" width="13.88671875" style="121" customWidth="1"/>
    <col min="14615" max="14615" width="11.88671875" style="121" customWidth="1"/>
    <col min="14616" max="14616" width="7.6640625" style="121" customWidth="1"/>
    <col min="14617" max="14618" width="11" style="121" customWidth="1"/>
    <col min="14619" max="14619" width="8.44140625" style="121" customWidth="1"/>
    <col min="14620" max="14620" width="33.33203125" style="121" customWidth="1"/>
    <col min="14621" max="14860" width="17.109375" style="121"/>
    <col min="14861" max="14861" width="1.44140625" style="121" customWidth="1"/>
    <col min="14862" max="14862" width="10.44140625" style="121" customWidth="1"/>
    <col min="14863" max="14863" width="8.6640625" style="121" customWidth="1"/>
    <col min="14864" max="14864" width="12.109375" style="121" customWidth="1"/>
    <col min="14865" max="14865" width="4.88671875" style="121" customWidth="1"/>
    <col min="14866" max="14866" width="42.33203125" style="121" customWidth="1"/>
    <col min="14867" max="14867" width="33.33203125" style="121" customWidth="1"/>
    <col min="14868" max="14868" width="10.33203125" style="121" customWidth="1"/>
    <col min="14869" max="14869" width="15.109375" style="121" customWidth="1"/>
    <col min="14870" max="14870" width="13.88671875" style="121" customWidth="1"/>
    <col min="14871" max="14871" width="11.88671875" style="121" customWidth="1"/>
    <col min="14872" max="14872" width="7.6640625" style="121" customWidth="1"/>
    <col min="14873" max="14874" width="11" style="121" customWidth="1"/>
    <col min="14875" max="14875" width="8.44140625" style="121" customWidth="1"/>
    <col min="14876" max="14876" width="33.33203125" style="121" customWidth="1"/>
    <col min="14877" max="15116" width="17.109375" style="121"/>
    <col min="15117" max="15117" width="1.44140625" style="121" customWidth="1"/>
    <col min="15118" max="15118" width="10.44140625" style="121" customWidth="1"/>
    <col min="15119" max="15119" width="8.6640625" style="121" customWidth="1"/>
    <col min="15120" max="15120" width="12.109375" style="121" customWidth="1"/>
    <col min="15121" max="15121" width="4.88671875" style="121" customWidth="1"/>
    <col min="15122" max="15122" width="42.33203125" style="121" customWidth="1"/>
    <col min="15123" max="15123" width="33.33203125" style="121" customWidth="1"/>
    <col min="15124" max="15124" width="10.33203125" style="121" customWidth="1"/>
    <col min="15125" max="15125" width="15.109375" style="121" customWidth="1"/>
    <col min="15126" max="15126" width="13.88671875" style="121" customWidth="1"/>
    <col min="15127" max="15127" width="11.88671875" style="121" customWidth="1"/>
    <col min="15128" max="15128" width="7.6640625" style="121" customWidth="1"/>
    <col min="15129" max="15130" width="11" style="121" customWidth="1"/>
    <col min="15131" max="15131" width="8.44140625" style="121" customWidth="1"/>
    <col min="15132" max="15132" width="33.33203125" style="121" customWidth="1"/>
    <col min="15133" max="15372" width="17.109375" style="121"/>
    <col min="15373" max="15373" width="1.44140625" style="121" customWidth="1"/>
    <col min="15374" max="15374" width="10.44140625" style="121" customWidth="1"/>
    <col min="15375" max="15375" width="8.6640625" style="121" customWidth="1"/>
    <col min="15376" max="15376" width="12.109375" style="121" customWidth="1"/>
    <col min="15377" max="15377" width="4.88671875" style="121" customWidth="1"/>
    <col min="15378" max="15378" width="42.33203125" style="121" customWidth="1"/>
    <col min="15379" max="15379" width="33.33203125" style="121" customWidth="1"/>
    <col min="15380" max="15380" width="10.33203125" style="121" customWidth="1"/>
    <col min="15381" max="15381" width="15.109375" style="121" customWidth="1"/>
    <col min="15382" max="15382" width="13.88671875" style="121" customWidth="1"/>
    <col min="15383" max="15383" width="11.88671875" style="121" customWidth="1"/>
    <col min="15384" max="15384" width="7.6640625" style="121" customWidth="1"/>
    <col min="15385" max="15386" width="11" style="121" customWidth="1"/>
    <col min="15387" max="15387" width="8.44140625" style="121" customWidth="1"/>
    <col min="15388" max="15388" width="33.33203125" style="121" customWidth="1"/>
    <col min="15389" max="15628" width="17.109375" style="121"/>
    <col min="15629" max="15629" width="1.44140625" style="121" customWidth="1"/>
    <col min="15630" max="15630" width="10.44140625" style="121" customWidth="1"/>
    <col min="15631" max="15631" width="8.6640625" style="121" customWidth="1"/>
    <col min="15632" max="15632" width="12.109375" style="121" customWidth="1"/>
    <col min="15633" max="15633" width="4.88671875" style="121" customWidth="1"/>
    <col min="15634" max="15634" width="42.33203125" style="121" customWidth="1"/>
    <col min="15635" max="15635" width="33.33203125" style="121" customWidth="1"/>
    <col min="15636" max="15636" width="10.33203125" style="121" customWidth="1"/>
    <col min="15637" max="15637" width="15.109375" style="121" customWidth="1"/>
    <col min="15638" max="15638" width="13.88671875" style="121" customWidth="1"/>
    <col min="15639" max="15639" width="11.88671875" style="121" customWidth="1"/>
    <col min="15640" max="15640" width="7.6640625" style="121" customWidth="1"/>
    <col min="15641" max="15642" width="11" style="121" customWidth="1"/>
    <col min="15643" max="15643" width="8.44140625" style="121" customWidth="1"/>
    <col min="15644" max="15644" width="33.33203125" style="121" customWidth="1"/>
    <col min="15645" max="15884" width="17.109375" style="121"/>
    <col min="15885" max="15885" width="1.44140625" style="121" customWidth="1"/>
    <col min="15886" max="15886" width="10.44140625" style="121" customWidth="1"/>
    <col min="15887" max="15887" width="8.6640625" style="121" customWidth="1"/>
    <col min="15888" max="15888" width="12.109375" style="121" customWidth="1"/>
    <col min="15889" max="15889" width="4.88671875" style="121" customWidth="1"/>
    <col min="15890" max="15890" width="42.33203125" style="121" customWidth="1"/>
    <col min="15891" max="15891" width="33.33203125" style="121" customWidth="1"/>
    <col min="15892" max="15892" width="10.33203125" style="121" customWidth="1"/>
    <col min="15893" max="15893" width="15.109375" style="121" customWidth="1"/>
    <col min="15894" max="15894" width="13.88671875" style="121" customWidth="1"/>
    <col min="15895" max="15895" width="11.88671875" style="121" customWidth="1"/>
    <col min="15896" max="15896" width="7.6640625" style="121" customWidth="1"/>
    <col min="15897" max="15898" width="11" style="121" customWidth="1"/>
    <col min="15899" max="15899" width="8.44140625" style="121" customWidth="1"/>
    <col min="15900" max="15900" width="33.33203125" style="121" customWidth="1"/>
    <col min="15901" max="16140" width="17.109375" style="121"/>
    <col min="16141" max="16141" width="1.44140625" style="121" customWidth="1"/>
    <col min="16142" max="16142" width="10.44140625" style="121" customWidth="1"/>
    <col min="16143" max="16143" width="8.6640625" style="121" customWidth="1"/>
    <col min="16144" max="16144" width="12.109375" style="121" customWidth="1"/>
    <col min="16145" max="16145" width="4.88671875" style="121" customWidth="1"/>
    <col min="16146" max="16146" width="42.33203125" style="121" customWidth="1"/>
    <col min="16147" max="16147" width="33.33203125" style="121" customWidth="1"/>
    <col min="16148" max="16148" width="10.33203125" style="121" customWidth="1"/>
    <col min="16149" max="16149" width="15.109375" style="121" customWidth="1"/>
    <col min="16150" max="16150" width="13.88671875" style="121" customWidth="1"/>
    <col min="16151" max="16151" width="11.88671875" style="121" customWidth="1"/>
    <col min="16152" max="16152" width="7.6640625" style="121" customWidth="1"/>
    <col min="16153" max="16154" width="11" style="121" customWidth="1"/>
    <col min="16155" max="16155" width="8.44140625" style="121" customWidth="1"/>
    <col min="16156" max="16156" width="33.33203125" style="121" customWidth="1"/>
    <col min="16157" max="16384" width="17.109375" style="121"/>
  </cols>
  <sheetData>
    <row r="1" spans="1:35" s="117" customFormat="1" ht="30" customHeight="1" x14ac:dyDescent="0.3">
      <c r="A1" s="114"/>
      <c r="B1" s="114"/>
      <c r="C1" s="114"/>
      <c r="D1" s="179" t="s">
        <v>344</v>
      </c>
      <c r="E1" s="180"/>
      <c r="F1" s="180"/>
      <c r="G1" s="176"/>
      <c r="H1" s="176"/>
      <c r="I1" s="176"/>
      <c r="J1" s="176"/>
      <c r="K1" s="176"/>
      <c r="L1" s="176"/>
      <c r="M1" s="176"/>
      <c r="N1" s="176"/>
      <c r="O1" s="176"/>
      <c r="P1" s="183"/>
      <c r="Q1" s="184" t="s">
        <v>446</v>
      </c>
      <c r="R1" s="159"/>
      <c r="S1" s="159"/>
      <c r="T1" s="159" t="s">
        <v>215</v>
      </c>
      <c r="U1" s="159"/>
      <c r="V1" s="159"/>
      <c r="W1" s="159"/>
      <c r="X1" s="160" t="s">
        <v>63</v>
      </c>
      <c r="Y1" s="161" t="s">
        <v>456</v>
      </c>
      <c r="Z1" s="162"/>
      <c r="AA1" s="163" t="s">
        <v>62</v>
      </c>
      <c r="AB1" s="163" t="s">
        <v>45</v>
      </c>
      <c r="AC1" s="163"/>
      <c r="AD1" s="164"/>
      <c r="AE1" s="165"/>
      <c r="AH1" s="118" t="s">
        <v>2</v>
      </c>
      <c r="AI1" s="119">
        <v>0.25</v>
      </c>
    </row>
    <row r="2" spans="1:35" s="117" customFormat="1" ht="30" customHeight="1" x14ac:dyDescent="0.3">
      <c r="A2" s="114"/>
      <c r="B2" s="114"/>
      <c r="C2" s="114"/>
      <c r="D2" s="181"/>
      <c r="E2" s="180"/>
      <c r="F2" s="182"/>
      <c r="G2" s="177"/>
      <c r="H2" s="177"/>
      <c r="I2" s="177"/>
      <c r="J2" s="177"/>
      <c r="K2" s="177"/>
      <c r="L2" s="177"/>
      <c r="M2" s="177"/>
      <c r="N2" s="177"/>
      <c r="O2" s="177"/>
      <c r="P2" s="178"/>
      <c r="Q2" s="166" t="s">
        <v>217</v>
      </c>
      <c r="R2" s="156"/>
      <c r="S2" s="167" t="s">
        <v>216</v>
      </c>
      <c r="T2" s="167" t="s">
        <v>345</v>
      </c>
      <c r="U2" s="156" t="s">
        <v>459</v>
      </c>
      <c r="V2" s="167" t="s">
        <v>445</v>
      </c>
      <c r="W2" s="167"/>
      <c r="X2" s="168">
        <f ca="1">+COUNTIF(U5:U493,$AH$5)/COUNTA(B5:B493)</f>
        <v>0.23703703703703705</v>
      </c>
      <c r="Y2" s="169">
        <f>+COUNTIF(V5:V493,$AH$2)/COUNTA(B5:B493)</f>
        <v>0.76296296296296295</v>
      </c>
      <c r="Z2" s="170"/>
      <c r="AA2" s="171">
        <v>45412</v>
      </c>
      <c r="AB2" s="172">
        <f ca="1">TODAY()</f>
        <v>45986</v>
      </c>
      <c r="AC2" s="173">
        <f ca="1">NOW()</f>
        <v>45986.491349074073</v>
      </c>
      <c r="AD2" s="174"/>
      <c r="AE2" s="175"/>
      <c r="AH2" s="118" t="s">
        <v>3</v>
      </c>
      <c r="AI2" s="119">
        <v>0.5</v>
      </c>
    </row>
    <row r="3" spans="1:35" s="120" customFormat="1" ht="4.5" customHeight="1" x14ac:dyDescent="0.3">
      <c r="A3" s="64"/>
      <c r="B3" s="114"/>
      <c r="C3" s="114"/>
      <c r="D3" s="114"/>
      <c r="E3" s="114"/>
      <c r="F3" s="114"/>
      <c r="G3" s="114"/>
      <c r="H3" s="107"/>
      <c r="I3" s="115"/>
      <c r="J3" s="114"/>
      <c r="K3" s="114"/>
      <c r="L3" s="115"/>
      <c r="M3" s="114"/>
      <c r="N3" s="116"/>
      <c r="O3" s="114"/>
      <c r="P3" s="114"/>
      <c r="Q3" s="115"/>
      <c r="R3" s="114"/>
      <c r="S3" s="114"/>
      <c r="T3" s="65"/>
      <c r="U3" s="146"/>
      <c r="V3" s="64"/>
      <c r="W3" s="66"/>
      <c r="X3" s="107"/>
      <c r="Y3" s="68"/>
      <c r="Z3" s="67"/>
      <c r="AA3" s="67"/>
      <c r="AB3" s="64"/>
      <c r="AC3" s="66"/>
      <c r="AD3" s="66"/>
      <c r="AE3" s="69"/>
      <c r="AH3" s="118"/>
      <c r="AI3" s="119">
        <v>0.75</v>
      </c>
    </row>
    <row r="4" spans="1:35" s="117" customFormat="1" ht="73.5" customHeight="1" x14ac:dyDescent="0.3">
      <c r="A4" s="153" t="s">
        <v>56</v>
      </c>
      <c r="B4" s="153" t="s">
        <v>0</v>
      </c>
      <c r="C4" s="153" t="s">
        <v>1134</v>
      </c>
      <c r="D4" s="153" t="s">
        <v>1135</v>
      </c>
      <c r="E4" s="153" t="s">
        <v>218</v>
      </c>
      <c r="F4" s="153" t="s">
        <v>219</v>
      </c>
      <c r="G4" s="153" t="s">
        <v>67</v>
      </c>
      <c r="H4" s="154" t="s">
        <v>207</v>
      </c>
      <c r="I4" s="153" t="s">
        <v>19</v>
      </c>
      <c r="J4" s="153" t="s">
        <v>92</v>
      </c>
      <c r="K4" s="153" t="s">
        <v>98</v>
      </c>
      <c r="L4" s="153" t="s">
        <v>89</v>
      </c>
      <c r="M4" s="153" t="s">
        <v>90</v>
      </c>
      <c r="N4" s="153" t="s">
        <v>42</v>
      </c>
      <c r="O4" s="153" t="s">
        <v>43</v>
      </c>
      <c r="P4" s="153" t="s">
        <v>44</v>
      </c>
      <c r="Q4" s="153" t="s">
        <v>220</v>
      </c>
      <c r="R4" s="153" t="s">
        <v>213</v>
      </c>
      <c r="S4" s="153" t="s">
        <v>214</v>
      </c>
      <c r="T4" s="153" t="s">
        <v>68</v>
      </c>
      <c r="U4" s="155" t="s">
        <v>5</v>
      </c>
      <c r="V4" s="153" t="s">
        <v>14</v>
      </c>
      <c r="W4" s="156" t="s">
        <v>1</v>
      </c>
      <c r="X4" s="154" t="s">
        <v>65</v>
      </c>
      <c r="Y4" s="157" t="s">
        <v>64</v>
      </c>
      <c r="Z4" s="153" t="s">
        <v>210</v>
      </c>
      <c r="AA4" s="153" t="s">
        <v>54</v>
      </c>
      <c r="AB4" s="158" t="s">
        <v>47</v>
      </c>
      <c r="AC4" s="153" t="s">
        <v>70</v>
      </c>
      <c r="AD4" s="153" t="s">
        <v>521</v>
      </c>
      <c r="AE4" s="158" t="s">
        <v>55</v>
      </c>
      <c r="AH4" s="118" t="s">
        <v>6</v>
      </c>
      <c r="AI4" s="119">
        <v>1</v>
      </c>
    </row>
    <row r="5" spans="1:35" ht="42.75" customHeight="1" x14ac:dyDescent="0.3">
      <c r="A5" s="2">
        <v>45720</v>
      </c>
      <c r="B5" s="111">
        <f>IF(A5&lt;&gt;"",1,"")</f>
        <v>1</v>
      </c>
      <c r="C5" s="22"/>
      <c r="D5" s="22"/>
      <c r="E5" s="21" t="s">
        <v>231</v>
      </c>
      <c r="F5" s="21" t="s">
        <v>235</v>
      </c>
      <c r="G5" s="22" t="s">
        <v>234</v>
      </c>
      <c r="H5" s="23" t="str">
        <f t="shared" ref="H5:H36" si="0">IF((A5=""),"",IF((V5="Cerrada"),"ATENDIDO",IF(OR((($AA$2-A5)=0),(($AA$2-A5)=-1),(($AA$2-A5)=-2),(($AA$2-A5)=-3)),"BAJO",IF((T5="-3"),"MEDIO","ALTA"))))</f>
        <v>ATENDIDO</v>
      </c>
      <c r="I5" s="24" t="s">
        <v>20</v>
      </c>
      <c r="J5" s="24" t="s">
        <v>10</v>
      </c>
      <c r="K5" s="71" t="s">
        <v>124</v>
      </c>
      <c r="L5" s="24" t="s">
        <v>77</v>
      </c>
      <c r="M5" s="25" t="s">
        <v>86</v>
      </c>
      <c r="N5" s="24" t="s">
        <v>186</v>
      </c>
      <c r="O5" s="25" t="s">
        <v>208</v>
      </c>
      <c r="P5" s="112" t="s">
        <v>293</v>
      </c>
      <c r="Q5" s="25" t="s">
        <v>320</v>
      </c>
      <c r="R5" s="2">
        <f>Tabla1[[#This Row],[Origin Date ]]+3</f>
        <v>45723</v>
      </c>
      <c r="S5" s="2">
        <v>45723</v>
      </c>
      <c r="T5" s="26">
        <f t="shared" ref="T5:T26" si="1">IF((R5=""),"",IF((V5="Cerrada"),(S5-R5),IF((($AA$2-R5)&lt;=0),"-",($AA$2-R5))))</f>
        <v>0</v>
      </c>
      <c r="U5" s="27" t="str">
        <f t="shared" ref="U5:U36" si="2">IF((R5=""),"",IF((V5="Cerrada"),"Realizada a Tiempo",IF(OR((($AB$2-R5)=0),(($AB$2-R5)=-1),(($AB$2-R5)=-2),(($AB$2-R5)=-3)),"Tiempo Límite",IF((T5="&gt;9"),"En Proceso","Atrasada"))))</f>
        <v>Realizada a Tiempo</v>
      </c>
      <c r="V5" s="28" t="str">
        <f t="shared" ref="V5:V52" si="3">IF((R5=""),"",IF((S5=""),"Abierta","Cerrada"))</f>
        <v>Cerrada</v>
      </c>
      <c r="W5" s="72">
        <v>0.8</v>
      </c>
      <c r="X5" s="29"/>
      <c r="Y5" s="28" t="s">
        <v>58</v>
      </c>
      <c r="Z5" s="35">
        <v>365</v>
      </c>
      <c r="AA5" s="30" t="s">
        <v>52</v>
      </c>
      <c r="AB5" s="31">
        <f>Tabla1[[#This Row],[Fecha de Entrega
End Date]]+$Z5</f>
        <v>46088</v>
      </c>
      <c r="AC5" s="30"/>
      <c r="AD5" s="70" t="s">
        <v>386</v>
      </c>
      <c r="AE5" s="32" t="s">
        <v>467</v>
      </c>
      <c r="AF5" s="121"/>
      <c r="AH5" s="122" t="s">
        <v>453</v>
      </c>
      <c r="AI5" s="122"/>
    </row>
    <row r="6" spans="1:35" ht="39.6" x14ac:dyDescent="0.3">
      <c r="A6" s="2">
        <v>45720</v>
      </c>
      <c r="B6" s="111">
        <f>IF(Tabla1[[#This Row],[Origin Date ]]&lt;&gt;"",1+B5,"")</f>
        <v>2</v>
      </c>
      <c r="C6" s="22"/>
      <c r="D6" s="22"/>
      <c r="E6" s="21" t="s">
        <v>468</v>
      </c>
      <c r="F6" s="21" t="s">
        <v>505</v>
      </c>
      <c r="G6" s="22" t="s">
        <v>233</v>
      </c>
      <c r="H6" s="23" t="str">
        <f t="shared" si="0"/>
        <v>ATENDIDO</v>
      </c>
      <c r="I6" s="24" t="s">
        <v>20</v>
      </c>
      <c r="J6" s="24" t="s">
        <v>10</v>
      </c>
      <c r="K6" s="71" t="s">
        <v>124</v>
      </c>
      <c r="L6" s="25" t="s">
        <v>77</v>
      </c>
      <c r="M6" s="25" t="s">
        <v>86</v>
      </c>
      <c r="N6" s="24" t="s">
        <v>186</v>
      </c>
      <c r="O6" s="25" t="s">
        <v>208</v>
      </c>
      <c r="P6" s="112" t="s">
        <v>293</v>
      </c>
      <c r="Q6" s="25" t="s">
        <v>320</v>
      </c>
      <c r="R6" s="2">
        <f>Tabla1[[#This Row],[Origin Date ]]+3</f>
        <v>45723</v>
      </c>
      <c r="S6" s="2">
        <v>45720</v>
      </c>
      <c r="T6" s="26">
        <f t="shared" si="1"/>
        <v>-3</v>
      </c>
      <c r="U6" s="27" t="str">
        <f t="shared" si="2"/>
        <v>Realizada a Tiempo</v>
      </c>
      <c r="V6" s="28" t="str">
        <f t="shared" si="3"/>
        <v>Cerrada</v>
      </c>
      <c r="W6" s="72">
        <v>0.8</v>
      </c>
      <c r="X6" s="29"/>
      <c r="Y6" s="28" t="s">
        <v>58</v>
      </c>
      <c r="Z6" s="35">
        <v>365</v>
      </c>
      <c r="AA6" s="30" t="s">
        <v>52</v>
      </c>
      <c r="AB6" s="31">
        <f>Tabla1[[#This Row],[Fecha de Entrega
End Date]]+$Z6</f>
        <v>46085</v>
      </c>
      <c r="AC6" s="30"/>
      <c r="AD6" s="70" t="s">
        <v>386</v>
      </c>
      <c r="AE6" s="32" t="s">
        <v>469</v>
      </c>
      <c r="AF6" s="121"/>
      <c r="AH6" s="122" t="s">
        <v>454</v>
      </c>
      <c r="AI6" s="122"/>
    </row>
    <row r="7" spans="1:35" ht="37.5" customHeight="1" x14ac:dyDescent="0.3">
      <c r="A7" s="2">
        <v>45720</v>
      </c>
      <c r="B7" s="140">
        <f>IF(Tabla1[[#This Row],[Origin Date ]]&lt;&gt;"",1+B6,"")</f>
        <v>3</v>
      </c>
      <c r="C7" s="34"/>
      <c r="D7" s="34"/>
      <c r="E7" s="33" t="s">
        <v>232</v>
      </c>
      <c r="F7" s="33" t="s">
        <v>236</v>
      </c>
      <c r="G7" s="34" t="s">
        <v>233</v>
      </c>
      <c r="H7" s="23" t="str">
        <f t="shared" si="0"/>
        <v>ATENDIDO</v>
      </c>
      <c r="I7" s="24" t="s">
        <v>20</v>
      </c>
      <c r="J7" s="24" t="s">
        <v>10</v>
      </c>
      <c r="K7" s="71" t="s">
        <v>124</v>
      </c>
      <c r="L7" s="24" t="s">
        <v>77</v>
      </c>
      <c r="M7" s="25" t="s">
        <v>86</v>
      </c>
      <c r="N7" s="24" t="s">
        <v>186</v>
      </c>
      <c r="O7" s="25" t="s">
        <v>208</v>
      </c>
      <c r="P7" s="112" t="s">
        <v>293</v>
      </c>
      <c r="Q7" s="25" t="s">
        <v>320</v>
      </c>
      <c r="R7" s="2">
        <f>Tabla1[[#This Row],[Origin Date ]]+3</f>
        <v>45723</v>
      </c>
      <c r="S7" s="2">
        <v>45723</v>
      </c>
      <c r="T7" s="26">
        <f t="shared" si="1"/>
        <v>0</v>
      </c>
      <c r="U7" s="27" t="str">
        <f t="shared" si="2"/>
        <v>Realizada a Tiempo</v>
      </c>
      <c r="V7" s="28" t="str">
        <f t="shared" si="3"/>
        <v>Cerrada</v>
      </c>
      <c r="W7" s="72">
        <v>0.8</v>
      </c>
      <c r="X7" s="29"/>
      <c r="Y7" s="28" t="s">
        <v>58</v>
      </c>
      <c r="Z7" s="35">
        <v>365</v>
      </c>
      <c r="AA7" s="30" t="s">
        <v>52</v>
      </c>
      <c r="AB7" s="31">
        <f>Tabla1[[#This Row],[Fecha de Entrega
End Date]]+$Z7</f>
        <v>46088</v>
      </c>
      <c r="AC7" s="30"/>
      <c r="AD7" s="70" t="s">
        <v>386</v>
      </c>
      <c r="AE7" s="32" t="s">
        <v>467</v>
      </c>
      <c r="AF7" s="121"/>
    </row>
    <row r="8" spans="1:35" ht="48.75" customHeight="1" x14ac:dyDescent="0.3">
      <c r="A8" s="2">
        <v>45719</v>
      </c>
      <c r="B8" s="140">
        <f>IF(Tabla1[[#This Row],[Origin Date ]]&lt;&gt;"",1+B7,"")</f>
        <v>4</v>
      </c>
      <c r="C8" s="34"/>
      <c r="D8" s="34"/>
      <c r="E8" s="33" t="s">
        <v>522</v>
      </c>
      <c r="F8" s="33" t="s">
        <v>523</v>
      </c>
      <c r="G8" s="22" t="s">
        <v>525</v>
      </c>
      <c r="H8" s="23" t="str">
        <f t="shared" si="0"/>
        <v>ATENDIDO</v>
      </c>
      <c r="I8" s="24" t="s">
        <v>21</v>
      </c>
      <c r="J8" s="24" t="s">
        <v>16</v>
      </c>
      <c r="K8" s="71" t="s">
        <v>127</v>
      </c>
      <c r="L8" s="24" t="s">
        <v>77</v>
      </c>
      <c r="M8" s="25" t="s">
        <v>86</v>
      </c>
      <c r="N8" s="24" t="s">
        <v>185</v>
      </c>
      <c r="O8" s="25" t="s">
        <v>208</v>
      </c>
      <c r="P8" s="112" t="s">
        <v>293</v>
      </c>
      <c r="Q8" s="25" t="s">
        <v>93</v>
      </c>
      <c r="R8" s="2">
        <f>Tabla1[[#This Row],[Origin Date ]]+3</f>
        <v>45722</v>
      </c>
      <c r="S8" s="2">
        <v>45720</v>
      </c>
      <c r="T8" s="26">
        <f t="shared" si="1"/>
        <v>-2</v>
      </c>
      <c r="U8" s="27" t="str">
        <f t="shared" si="2"/>
        <v>Realizada a Tiempo</v>
      </c>
      <c r="V8" s="28" t="str">
        <f t="shared" si="3"/>
        <v>Cerrada</v>
      </c>
      <c r="W8" s="72">
        <v>1</v>
      </c>
      <c r="X8" s="29"/>
      <c r="Y8" s="28" t="s">
        <v>58</v>
      </c>
      <c r="Z8" s="35">
        <v>365</v>
      </c>
      <c r="AA8" s="30" t="s">
        <v>52</v>
      </c>
      <c r="AB8" s="31">
        <f>Tabla1[[#This Row],[Fecha de Entrega
End Date]]+$Z8</f>
        <v>46085</v>
      </c>
      <c r="AC8" s="30"/>
      <c r="AD8" s="70" t="s">
        <v>386</v>
      </c>
      <c r="AE8" s="37" t="s">
        <v>250</v>
      </c>
      <c r="AF8" s="121"/>
    </row>
    <row r="9" spans="1:35" ht="36" customHeight="1" x14ac:dyDescent="0.3">
      <c r="A9" s="2">
        <v>45720</v>
      </c>
      <c r="B9" s="111">
        <f>IF(Tabla1[[#This Row],[Origin Date ]]&lt;&gt;"",1+B8,"")</f>
        <v>5</v>
      </c>
      <c r="C9" s="22"/>
      <c r="D9" s="22"/>
      <c r="E9" s="21" t="s">
        <v>253</v>
      </c>
      <c r="F9" s="21" t="s">
        <v>239</v>
      </c>
      <c r="G9" s="22" t="s">
        <v>503</v>
      </c>
      <c r="H9" s="23" t="str">
        <f t="shared" si="0"/>
        <v>ATENDIDO</v>
      </c>
      <c r="I9" s="24" t="s">
        <v>21</v>
      </c>
      <c r="J9" s="24" t="s">
        <v>16</v>
      </c>
      <c r="K9" s="71" t="s">
        <v>124</v>
      </c>
      <c r="L9" s="24" t="s">
        <v>77</v>
      </c>
      <c r="M9" s="25" t="s">
        <v>86</v>
      </c>
      <c r="N9" s="24" t="s">
        <v>185</v>
      </c>
      <c r="O9" s="25" t="s">
        <v>208</v>
      </c>
      <c r="P9" s="112" t="s">
        <v>293</v>
      </c>
      <c r="Q9" s="25" t="s">
        <v>229</v>
      </c>
      <c r="R9" s="2">
        <f>Tabla1[[#This Row],[Origin Date ]]+3</f>
        <v>45723</v>
      </c>
      <c r="S9" s="2">
        <v>45722</v>
      </c>
      <c r="T9" s="26">
        <f t="shared" si="1"/>
        <v>-1</v>
      </c>
      <c r="U9" s="27" t="str">
        <f t="shared" si="2"/>
        <v>Realizada a Tiempo</v>
      </c>
      <c r="V9" s="28" t="str">
        <f t="shared" si="3"/>
        <v>Cerrada</v>
      </c>
      <c r="W9" s="72">
        <v>0.8</v>
      </c>
      <c r="X9" s="29" t="s">
        <v>458</v>
      </c>
      <c r="Y9" s="28" t="s">
        <v>58</v>
      </c>
      <c r="Z9" s="35">
        <v>365</v>
      </c>
      <c r="AA9" s="30" t="s">
        <v>52</v>
      </c>
      <c r="AB9" s="31">
        <f>Tabla1[[#This Row],[Fecha de Entrega
End Date]]+$Z9</f>
        <v>46087</v>
      </c>
      <c r="AC9" s="38" t="s">
        <v>506</v>
      </c>
      <c r="AD9" s="70" t="s">
        <v>386</v>
      </c>
      <c r="AE9" s="37" t="s">
        <v>470</v>
      </c>
      <c r="AF9" s="121"/>
    </row>
    <row r="10" spans="1:35" ht="28.5" customHeight="1" x14ac:dyDescent="0.3">
      <c r="A10" s="2">
        <v>45720</v>
      </c>
      <c r="B10" s="111">
        <f>IF(Tabla1[[#This Row],[Origin Date ]]&lt;&gt;"",1+B9,"")</f>
        <v>6</v>
      </c>
      <c r="C10" s="22"/>
      <c r="D10" s="22"/>
      <c r="E10" s="21" t="s">
        <v>254</v>
      </c>
      <c r="F10" s="21" t="s">
        <v>252</v>
      </c>
      <c r="G10" s="22" t="s">
        <v>524</v>
      </c>
      <c r="H10" s="23" t="str">
        <f t="shared" si="0"/>
        <v>ATENDIDO</v>
      </c>
      <c r="I10" s="24" t="s">
        <v>21</v>
      </c>
      <c r="J10" s="24" t="s">
        <v>16</v>
      </c>
      <c r="K10" s="71" t="s">
        <v>125</v>
      </c>
      <c r="L10" s="24" t="s">
        <v>77</v>
      </c>
      <c r="M10" s="25" t="s">
        <v>86</v>
      </c>
      <c r="N10" s="24" t="s">
        <v>185</v>
      </c>
      <c r="O10" s="25" t="s">
        <v>208</v>
      </c>
      <c r="P10" s="112" t="s">
        <v>293</v>
      </c>
      <c r="Q10" s="25" t="s">
        <v>229</v>
      </c>
      <c r="R10" s="2">
        <f>Tabla1[[#This Row],[Origin Date ]]+3</f>
        <v>45723</v>
      </c>
      <c r="S10" s="2">
        <v>45722</v>
      </c>
      <c r="T10" s="26">
        <f t="shared" si="1"/>
        <v>-1</v>
      </c>
      <c r="U10" s="27" t="str">
        <f t="shared" si="2"/>
        <v>Realizada a Tiempo</v>
      </c>
      <c r="V10" s="28" t="str">
        <f t="shared" si="3"/>
        <v>Cerrada</v>
      </c>
      <c r="W10" s="72">
        <v>1</v>
      </c>
      <c r="X10" s="29" t="s">
        <v>457</v>
      </c>
      <c r="Y10" s="28" t="s">
        <v>452</v>
      </c>
      <c r="Z10" s="35">
        <v>365</v>
      </c>
      <c r="AA10" s="30" t="s">
        <v>52</v>
      </c>
      <c r="AB10" s="31">
        <f>Tabla1[[#This Row],[Fecha de Entrega
End Date]]+$Z10</f>
        <v>46087</v>
      </c>
      <c r="AC10" s="38" t="s">
        <v>268</v>
      </c>
      <c r="AD10" s="70" t="s">
        <v>386</v>
      </c>
      <c r="AE10" s="37" t="s">
        <v>470</v>
      </c>
      <c r="AF10" s="121"/>
    </row>
    <row r="11" spans="1:35" ht="36" customHeight="1" x14ac:dyDescent="0.3">
      <c r="A11" s="2">
        <v>45719</v>
      </c>
      <c r="B11" s="111">
        <f>IF(Tabla1[[#This Row],[Origin Date ]]&lt;&gt;"",1+B10,"")</f>
        <v>7</v>
      </c>
      <c r="C11" s="22"/>
      <c r="D11" s="22"/>
      <c r="E11" s="21" t="s">
        <v>473</v>
      </c>
      <c r="F11" s="21" t="s">
        <v>507</v>
      </c>
      <c r="G11" s="22" t="s">
        <v>503</v>
      </c>
      <c r="H11" s="23" t="str">
        <f t="shared" si="0"/>
        <v>ATENDIDO</v>
      </c>
      <c r="I11" s="24" t="s">
        <v>21</v>
      </c>
      <c r="J11" s="24" t="s">
        <v>16</v>
      </c>
      <c r="K11" s="71" t="s">
        <v>116</v>
      </c>
      <c r="L11" s="24" t="s">
        <v>77</v>
      </c>
      <c r="M11" s="25" t="s">
        <v>86</v>
      </c>
      <c r="N11" s="24" t="s">
        <v>209</v>
      </c>
      <c r="O11" s="25" t="s">
        <v>208</v>
      </c>
      <c r="P11" s="112" t="s">
        <v>293</v>
      </c>
      <c r="Q11" s="25" t="s">
        <v>320</v>
      </c>
      <c r="R11" s="2">
        <f>Tabla1[[#This Row],[Origin Date ]]+3</f>
        <v>45722</v>
      </c>
      <c r="S11" s="2">
        <v>45720</v>
      </c>
      <c r="T11" s="26">
        <f t="shared" si="1"/>
        <v>-2</v>
      </c>
      <c r="U11" s="27" t="str">
        <f t="shared" si="2"/>
        <v>Realizada a Tiempo</v>
      </c>
      <c r="V11" s="28" t="str">
        <f t="shared" si="3"/>
        <v>Cerrada</v>
      </c>
      <c r="W11" s="72">
        <v>1</v>
      </c>
      <c r="X11" s="29"/>
      <c r="Y11" s="28" t="s">
        <v>58</v>
      </c>
      <c r="Z11" s="35">
        <v>365</v>
      </c>
      <c r="AA11" s="30" t="s">
        <v>52</v>
      </c>
      <c r="AB11" s="31">
        <f>Tabla1[[#This Row],[Fecha de Entrega
End Date]]+$Z11</f>
        <v>46085</v>
      </c>
      <c r="AC11" s="38" t="s">
        <v>267</v>
      </c>
      <c r="AD11" s="70" t="s">
        <v>386</v>
      </c>
      <c r="AE11" s="37" t="s">
        <v>251</v>
      </c>
      <c r="AF11" s="121"/>
    </row>
    <row r="12" spans="1:35" ht="30.75" customHeight="1" x14ac:dyDescent="0.3">
      <c r="A12" s="2">
        <v>45720</v>
      </c>
      <c r="B12" s="111">
        <f>IF(Tabla1[[#This Row],[Origin Date ]]&lt;&gt;"",1+B11,"")</f>
        <v>8</v>
      </c>
      <c r="C12" s="22"/>
      <c r="D12" s="22"/>
      <c r="E12" s="21" t="s">
        <v>255</v>
      </c>
      <c r="F12" s="21" t="s">
        <v>240</v>
      </c>
      <c r="G12" s="22" t="s">
        <v>503</v>
      </c>
      <c r="H12" s="23" t="str">
        <f t="shared" si="0"/>
        <v>ATENDIDO</v>
      </c>
      <c r="I12" s="24" t="s">
        <v>21</v>
      </c>
      <c r="J12" s="24" t="s">
        <v>16</v>
      </c>
      <c r="K12" s="71" t="s">
        <v>124</v>
      </c>
      <c r="L12" s="24" t="s">
        <v>77</v>
      </c>
      <c r="M12" s="25" t="s">
        <v>86</v>
      </c>
      <c r="N12" s="24" t="s">
        <v>185</v>
      </c>
      <c r="O12" s="25" t="s">
        <v>208</v>
      </c>
      <c r="P12" s="112" t="s">
        <v>293</v>
      </c>
      <c r="Q12" s="25" t="s">
        <v>320</v>
      </c>
      <c r="R12" s="2">
        <f>Tabla1[[#This Row],[Origin Date ]]+3</f>
        <v>45723</v>
      </c>
      <c r="S12" s="2">
        <v>45723</v>
      </c>
      <c r="T12" s="26">
        <f t="shared" si="1"/>
        <v>0</v>
      </c>
      <c r="U12" s="27" t="str">
        <f t="shared" si="2"/>
        <v>Realizada a Tiempo</v>
      </c>
      <c r="V12" s="28" t="str">
        <f t="shared" si="3"/>
        <v>Cerrada</v>
      </c>
      <c r="W12" s="72">
        <v>0.2</v>
      </c>
      <c r="X12" s="29"/>
      <c r="Y12" s="28" t="s">
        <v>58</v>
      </c>
      <c r="Z12" s="35">
        <v>365</v>
      </c>
      <c r="AA12" s="36" t="s">
        <v>50</v>
      </c>
      <c r="AB12" s="31">
        <f>Tabla1[[#This Row],[Fecha de Entrega
End Date]]+$Z12</f>
        <v>46088</v>
      </c>
      <c r="AC12" s="30"/>
      <c r="AD12" s="70" t="s">
        <v>386</v>
      </c>
      <c r="AE12" s="37"/>
    </row>
    <row r="13" spans="1:35" ht="51" customHeight="1" x14ac:dyDescent="0.3">
      <c r="A13" s="2">
        <v>45719</v>
      </c>
      <c r="B13" s="111">
        <f>IF(Tabla1[[#This Row],[Origin Date ]]&lt;&gt;"",1+B12,"")</f>
        <v>9</v>
      </c>
      <c r="C13" s="22"/>
      <c r="D13" s="22"/>
      <c r="E13" s="21" t="s">
        <v>256</v>
      </c>
      <c r="F13" s="21" t="s">
        <v>241</v>
      </c>
      <c r="G13" s="22" t="s">
        <v>503</v>
      </c>
      <c r="H13" s="23" t="str">
        <f t="shared" si="0"/>
        <v>ATENDIDO</v>
      </c>
      <c r="I13" s="24" t="s">
        <v>21</v>
      </c>
      <c r="J13" s="24" t="s">
        <v>16</v>
      </c>
      <c r="K13" s="71" t="s">
        <v>124</v>
      </c>
      <c r="L13" s="24" t="s">
        <v>77</v>
      </c>
      <c r="M13" s="25" t="s">
        <v>86</v>
      </c>
      <c r="N13" s="24" t="s">
        <v>189</v>
      </c>
      <c r="O13" s="25" t="s">
        <v>208</v>
      </c>
      <c r="P13" s="112" t="s">
        <v>293</v>
      </c>
      <c r="Q13" s="25" t="s">
        <v>93</v>
      </c>
      <c r="R13" s="2">
        <f>Tabla1[[#This Row],[Origin Date ]]+3</f>
        <v>45722</v>
      </c>
      <c r="S13" s="2">
        <v>45719</v>
      </c>
      <c r="T13" s="26">
        <f t="shared" si="1"/>
        <v>-3</v>
      </c>
      <c r="U13" s="27" t="str">
        <f t="shared" si="2"/>
        <v>Realizada a Tiempo</v>
      </c>
      <c r="V13" s="28" t="str">
        <f t="shared" si="3"/>
        <v>Cerrada</v>
      </c>
      <c r="W13" s="72">
        <v>0.8</v>
      </c>
      <c r="X13" s="29"/>
      <c r="Y13" s="28" t="s">
        <v>58</v>
      </c>
      <c r="Z13" s="35">
        <v>365</v>
      </c>
      <c r="AA13" s="36" t="s">
        <v>50</v>
      </c>
      <c r="AB13" s="31">
        <f>Tabla1[[#This Row],[Fecha de Entrega
End Date]]+$Z13</f>
        <v>46084</v>
      </c>
      <c r="AC13" s="30"/>
      <c r="AD13" s="70" t="s">
        <v>386</v>
      </c>
      <c r="AE13" s="37"/>
    </row>
    <row r="14" spans="1:35" ht="30.75" customHeight="1" x14ac:dyDescent="0.3">
      <c r="A14" s="2">
        <v>45720</v>
      </c>
      <c r="B14" s="111">
        <f>IF(Tabla1[[#This Row],[Origin Date ]]&lt;&gt;"",1+B13,"")</f>
        <v>10</v>
      </c>
      <c r="C14" s="22"/>
      <c r="D14" s="22"/>
      <c r="E14" s="21" t="s">
        <v>257</v>
      </c>
      <c r="F14" s="21" t="s">
        <v>242</v>
      </c>
      <c r="G14" s="22" t="s">
        <v>224</v>
      </c>
      <c r="H14" s="23" t="str">
        <f t="shared" si="0"/>
        <v>ATENDIDO</v>
      </c>
      <c r="I14" s="24" t="s">
        <v>20</v>
      </c>
      <c r="J14" s="24" t="s">
        <v>10</v>
      </c>
      <c r="K14" s="71" t="s">
        <v>124</v>
      </c>
      <c r="L14" s="24" t="s">
        <v>77</v>
      </c>
      <c r="M14" s="25" t="s">
        <v>86</v>
      </c>
      <c r="N14" s="24" t="s">
        <v>185</v>
      </c>
      <c r="O14" s="25" t="s">
        <v>208</v>
      </c>
      <c r="P14" s="112" t="s">
        <v>293</v>
      </c>
      <c r="Q14" s="25" t="s">
        <v>93</v>
      </c>
      <c r="R14" s="2">
        <f>Tabla1[[#This Row],[Origin Date ]]+3</f>
        <v>45723</v>
      </c>
      <c r="S14" s="2">
        <v>45720</v>
      </c>
      <c r="T14" s="26">
        <f t="shared" si="1"/>
        <v>-3</v>
      </c>
      <c r="U14" s="27" t="str">
        <f t="shared" si="2"/>
        <v>Realizada a Tiempo</v>
      </c>
      <c r="V14" s="28" t="str">
        <f t="shared" si="3"/>
        <v>Cerrada</v>
      </c>
      <c r="W14" s="72">
        <v>1</v>
      </c>
      <c r="X14" s="29"/>
      <c r="Y14" s="28" t="s">
        <v>58</v>
      </c>
      <c r="Z14" s="35">
        <v>365</v>
      </c>
      <c r="AA14" s="36" t="s">
        <v>50</v>
      </c>
      <c r="AB14" s="31">
        <f>Tabla1[[#This Row],[Fecha de Entrega
End Date]]+$Z14</f>
        <v>46085</v>
      </c>
      <c r="AC14" s="30"/>
      <c r="AD14" s="70" t="s">
        <v>386</v>
      </c>
      <c r="AE14" s="37"/>
    </row>
    <row r="15" spans="1:35" ht="27.75" customHeight="1" x14ac:dyDescent="0.3">
      <c r="A15" s="2">
        <v>45720</v>
      </c>
      <c r="B15" s="111">
        <f>IF(Tabla1[[#This Row],[Origin Date ]]&lt;&gt;"",1+B14,"")</f>
        <v>11</v>
      </c>
      <c r="C15" s="22"/>
      <c r="D15" s="22"/>
      <c r="E15" s="21" t="s">
        <v>258</v>
      </c>
      <c r="F15" s="21" t="s">
        <v>248</v>
      </c>
      <c r="G15" s="22" t="s">
        <v>224</v>
      </c>
      <c r="H15" s="23" t="str">
        <f t="shared" si="0"/>
        <v>ATENDIDO</v>
      </c>
      <c r="I15" s="24" t="s">
        <v>20</v>
      </c>
      <c r="J15" s="24" t="s">
        <v>10</v>
      </c>
      <c r="K15" s="71" t="s">
        <v>124</v>
      </c>
      <c r="L15" s="24" t="s">
        <v>77</v>
      </c>
      <c r="M15" s="25" t="s">
        <v>86</v>
      </c>
      <c r="N15" s="24" t="s">
        <v>185</v>
      </c>
      <c r="O15" s="25" t="s">
        <v>208</v>
      </c>
      <c r="P15" s="112" t="s">
        <v>293</v>
      </c>
      <c r="Q15" s="25" t="s">
        <v>320</v>
      </c>
      <c r="R15" s="2">
        <f>Tabla1[[#This Row],[Origin Date ]]+3</f>
        <v>45723</v>
      </c>
      <c r="S15" s="2">
        <v>45720</v>
      </c>
      <c r="T15" s="26">
        <f t="shared" si="1"/>
        <v>-3</v>
      </c>
      <c r="U15" s="27" t="str">
        <f t="shared" si="2"/>
        <v>Realizada a Tiempo</v>
      </c>
      <c r="V15" s="28" t="str">
        <f t="shared" si="3"/>
        <v>Cerrada</v>
      </c>
      <c r="W15" s="72">
        <v>1</v>
      </c>
      <c r="X15" s="29"/>
      <c r="Y15" s="28" t="s">
        <v>58</v>
      </c>
      <c r="Z15" s="35">
        <v>365</v>
      </c>
      <c r="AA15" s="36" t="s">
        <v>50</v>
      </c>
      <c r="AB15" s="31">
        <f>Tabla1[[#This Row],[Fecha de Entrega
End Date]]+$Z15</f>
        <v>46085</v>
      </c>
      <c r="AC15" s="30"/>
      <c r="AD15" s="70" t="s">
        <v>386</v>
      </c>
      <c r="AE15" s="37"/>
    </row>
    <row r="16" spans="1:35" ht="48.75" customHeight="1" x14ac:dyDescent="0.3">
      <c r="A16" s="2">
        <v>45720</v>
      </c>
      <c r="B16" s="111">
        <f>IF(Tabla1[[#This Row],[Origin Date ]]&lt;&gt;"",1+B15,"")</f>
        <v>12</v>
      </c>
      <c r="C16" s="22"/>
      <c r="D16" s="22"/>
      <c r="E16" s="21" t="s">
        <v>471</v>
      </c>
      <c r="F16" s="21" t="s">
        <v>508</v>
      </c>
      <c r="G16" s="22" t="s">
        <v>224</v>
      </c>
      <c r="H16" s="23" t="str">
        <f t="shared" si="0"/>
        <v>ATENDIDO</v>
      </c>
      <c r="I16" s="24" t="s">
        <v>20</v>
      </c>
      <c r="J16" s="24" t="s">
        <v>10</v>
      </c>
      <c r="K16" s="71" t="s">
        <v>124</v>
      </c>
      <c r="L16" s="24" t="s">
        <v>77</v>
      </c>
      <c r="M16" s="25" t="s">
        <v>86</v>
      </c>
      <c r="N16" s="24" t="s">
        <v>186</v>
      </c>
      <c r="O16" s="25" t="s">
        <v>208</v>
      </c>
      <c r="P16" s="112" t="s">
        <v>293</v>
      </c>
      <c r="Q16" s="25" t="s">
        <v>320</v>
      </c>
      <c r="R16" s="2">
        <f>Tabla1[[#This Row],[Origin Date ]]+3</f>
        <v>45723</v>
      </c>
      <c r="S16" s="2">
        <v>45720</v>
      </c>
      <c r="T16" s="26">
        <f t="shared" si="1"/>
        <v>-3</v>
      </c>
      <c r="U16" s="27" t="str">
        <f t="shared" si="2"/>
        <v>Realizada a Tiempo</v>
      </c>
      <c r="V16" s="28" t="str">
        <f t="shared" si="3"/>
        <v>Cerrada</v>
      </c>
      <c r="W16" s="72">
        <v>1</v>
      </c>
      <c r="X16" s="29"/>
      <c r="Y16" s="28" t="s">
        <v>58</v>
      </c>
      <c r="Z16" s="35">
        <v>365</v>
      </c>
      <c r="AA16" s="36" t="s">
        <v>50</v>
      </c>
      <c r="AB16" s="31">
        <f>Tabla1[[#This Row],[Fecha de Entrega
End Date]]+$Z16</f>
        <v>46085</v>
      </c>
      <c r="AC16" s="30"/>
      <c r="AD16" s="70" t="s">
        <v>386</v>
      </c>
      <c r="AE16" s="37"/>
    </row>
    <row r="17" spans="1:32" ht="52.5" customHeight="1" x14ac:dyDescent="0.3">
      <c r="A17" s="2">
        <v>45720</v>
      </c>
      <c r="B17" s="111">
        <f>IF(Tabla1[[#This Row],[Origin Date ]]&lt;&gt;"",1+B16,"")</f>
        <v>13</v>
      </c>
      <c r="C17" s="22"/>
      <c r="D17" s="22"/>
      <c r="E17" s="21" t="s">
        <v>259</v>
      </c>
      <c r="F17" s="21" t="s">
        <v>249</v>
      </c>
      <c r="G17" s="22" t="s">
        <v>224</v>
      </c>
      <c r="H17" s="23" t="str">
        <f t="shared" si="0"/>
        <v>ATENDIDO</v>
      </c>
      <c r="I17" s="24" t="s">
        <v>20</v>
      </c>
      <c r="J17" s="24" t="s">
        <v>10</v>
      </c>
      <c r="K17" s="71" t="s">
        <v>124</v>
      </c>
      <c r="L17" s="24" t="s">
        <v>77</v>
      </c>
      <c r="M17" s="25" t="s">
        <v>86</v>
      </c>
      <c r="N17" s="24" t="s">
        <v>185</v>
      </c>
      <c r="O17" s="25" t="s">
        <v>208</v>
      </c>
      <c r="P17" s="112" t="s">
        <v>293</v>
      </c>
      <c r="Q17" s="25" t="s">
        <v>320</v>
      </c>
      <c r="R17" s="2">
        <f>Tabla1[[#This Row],[Origin Date ]]+3</f>
        <v>45723</v>
      </c>
      <c r="S17" s="2">
        <v>45720</v>
      </c>
      <c r="T17" s="26">
        <f t="shared" si="1"/>
        <v>-3</v>
      </c>
      <c r="U17" s="27" t="str">
        <f t="shared" si="2"/>
        <v>Realizada a Tiempo</v>
      </c>
      <c r="V17" s="28" t="str">
        <f t="shared" si="3"/>
        <v>Cerrada</v>
      </c>
      <c r="W17" s="72">
        <v>1</v>
      </c>
      <c r="X17" s="29"/>
      <c r="Y17" s="28" t="s">
        <v>58</v>
      </c>
      <c r="Z17" s="35">
        <v>365</v>
      </c>
      <c r="AA17" s="36" t="s">
        <v>50</v>
      </c>
      <c r="AB17" s="31">
        <f>Tabla1[[#This Row],[Fecha de Entrega
End Date]]+$Z17</f>
        <v>46085</v>
      </c>
      <c r="AC17" s="30"/>
      <c r="AD17" s="70" t="s">
        <v>386</v>
      </c>
      <c r="AE17" s="37"/>
    </row>
    <row r="18" spans="1:32" ht="50.25" customHeight="1" x14ac:dyDescent="0.3">
      <c r="A18" s="2">
        <v>45721</v>
      </c>
      <c r="B18" s="111">
        <f>IF(Tabla1[[#This Row],[Origin Date ]]&lt;&gt;"",1+B17,"")</f>
        <v>14</v>
      </c>
      <c r="C18" s="22"/>
      <c r="D18" s="22"/>
      <c r="E18" s="21" t="s">
        <v>260</v>
      </c>
      <c r="F18" s="21" t="s">
        <v>271</v>
      </c>
      <c r="G18" s="22" t="s">
        <v>224</v>
      </c>
      <c r="H18" s="23" t="str">
        <f t="shared" si="0"/>
        <v>ATENDIDO</v>
      </c>
      <c r="I18" s="24" t="s">
        <v>20</v>
      </c>
      <c r="J18" s="24" t="s">
        <v>10</v>
      </c>
      <c r="K18" s="71" t="s">
        <v>124</v>
      </c>
      <c r="L18" s="24" t="s">
        <v>77</v>
      </c>
      <c r="M18" s="25" t="s">
        <v>86</v>
      </c>
      <c r="N18" s="24" t="s">
        <v>185</v>
      </c>
      <c r="O18" s="25" t="s">
        <v>208</v>
      </c>
      <c r="P18" s="112" t="s">
        <v>293</v>
      </c>
      <c r="Q18" s="25" t="s">
        <v>320</v>
      </c>
      <c r="R18" s="2">
        <f>Tabla1[[#This Row],[Origin Date ]]+3</f>
        <v>45724</v>
      </c>
      <c r="S18" s="2">
        <v>45728</v>
      </c>
      <c r="T18" s="26">
        <f t="shared" si="1"/>
        <v>4</v>
      </c>
      <c r="U18" s="27" t="str">
        <f t="shared" si="2"/>
        <v>Realizada a Tiempo</v>
      </c>
      <c r="V18" s="28" t="str">
        <f t="shared" si="3"/>
        <v>Cerrada</v>
      </c>
      <c r="W18" s="72">
        <v>0.6</v>
      </c>
      <c r="X18" s="29"/>
      <c r="Y18" s="28" t="s">
        <v>58</v>
      </c>
      <c r="Z18" s="35">
        <v>365</v>
      </c>
      <c r="AA18" s="36" t="s">
        <v>50</v>
      </c>
      <c r="AB18" s="31">
        <f>Tabla1[[#This Row],[Fecha de Entrega
End Date]]+$Z18</f>
        <v>46093</v>
      </c>
      <c r="AC18" s="30"/>
      <c r="AD18" s="70" t="s">
        <v>387</v>
      </c>
      <c r="AE18" s="37" t="s">
        <v>472</v>
      </c>
    </row>
    <row r="19" spans="1:32" ht="36.75" customHeight="1" x14ac:dyDescent="0.3">
      <c r="A19" s="2">
        <v>45721</v>
      </c>
      <c r="B19" s="111">
        <f>IF(Tabla1[[#This Row],[Origin Date ]]&lt;&gt;"",1+B18,"")</f>
        <v>15</v>
      </c>
      <c r="C19" s="22"/>
      <c r="D19" s="22"/>
      <c r="E19" s="21" t="s">
        <v>263</v>
      </c>
      <c r="F19" s="21" t="s">
        <v>262</v>
      </c>
      <c r="G19" s="22" t="s">
        <v>224</v>
      </c>
      <c r="H19" s="23" t="str">
        <f t="shared" si="0"/>
        <v>ATENDIDO</v>
      </c>
      <c r="I19" s="24" t="s">
        <v>21</v>
      </c>
      <c r="J19" s="24" t="s">
        <v>16</v>
      </c>
      <c r="K19" s="71" t="s">
        <v>116</v>
      </c>
      <c r="L19" s="24" t="s">
        <v>77</v>
      </c>
      <c r="M19" s="25" t="s">
        <v>86</v>
      </c>
      <c r="N19" s="24" t="s">
        <v>185</v>
      </c>
      <c r="O19" s="25" t="s">
        <v>208</v>
      </c>
      <c r="P19" s="112" t="s">
        <v>526</v>
      </c>
      <c r="Q19" s="25" t="s">
        <v>93</v>
      </c>
      <c r="R19" s="2">
        <f>Tabla1[[#This Row],[Origin Date ]]+3</f>
        <v>45724</v>
      </c>
      <c r="S19" s="2">
        <v>45721</v>
      </c>
      <c r="T19" s="26">
        <f t="shared" si="1"/>
        <v>-3</v>
      </c>
      <c r="U19" s="27" t="str">
        <f t="shared" si="2"/>
        <v>Realizada a Tiempo</v>
      </c>
      <c r="V19" s="28" t="str">
        <f t="shared" si="3"/>
        <v>Cerrada</v>
      </c>
      <c r="W19" s="72">
        <v>1</v>
      </c>
      <c r="X19" s="29"/>
      <c r="Y19" s="28" t="s">
        <v>58</v>
      </c>
      <c r="Z19" s="35">
        <v>365</v>
      </c>
      <c r="AA19" s="36" t="s">
        <v>50</v>
      </c>
      <c r="AB19" s="31">
        <f>Tabla1[[#This Row],[Fecha de Entrega
End Date]]+$Z19</f>
        <v>46086</v>
      </c>
      <c r="AC19" s="38" t="s">
        <v>266</v>
      </c>
      <c r="AD19" s="70" t="s">
        <v>386</v>
      </c>
      <c r="AE19" s="37"/>
    </row>
    <row r="20" spans="1:32" ht="40.5" customHeight="1" x14ac:dyDescent="0.3">
      <c r="A20" s="2">
        <v>45723</v>
      </c>
      <c r="B20" s="111">
        <f>IF(Tabla1[[#This Row],[Origin Date ]]&lt;&gt;"",1+B19,"")</f>
        <v>16</v>
      </c>
      <c r="C20" s="22"/>
      <c r="D20" s="22"/>
      <c r="E20" s="21" t="s">
        <v>473</v>
      </c>
      <c r="F20" s="21" t="s">
        <v>284</v>
      </c>
      <c r="G20" s="22" t="s">
        <v>224</v>
      </c>
      <c r="H20" s="23" t="str">
        <f t="shared" si="0"/>
        <v>ATENDIDO</v>
      </c>
      <c r="I20" s="24" t="s">
        <v>21</v>
      </c>
      <c r="J20" s="24" t="s">
        <v>16</v>
      </c>
      <c r="K20" s="71" t="s">
        <v>116</v>
      </c>
      <c r="L20" s="24" t="s">
        <v>77</v>
      </c>
      <c r="M20" s="25" t="s">
        <v>86</v>
      </c>
      <c r="N20" s="24" t="s">
        <v>209</v>
      </c>
      <c r="O20" s="25" t="s">
        <v>208</v>
      </c>
      <c r="P20" s="112" t="s">
        <v>526</v>
      </c>
      <c r="Q20" s="25" t="s">
        <v>229</v>
      </c>
      <c r="R20" s="2">
        <f>Tabla1[[#This Row],[Origin Date ]]+3</f>
        <v>45726</v>
      </c>
      <c r="S20" s="2">
        <v>45727</v>
      </c>
      <c r="T20" s="26">
        <f t="shared" si="1"/>
        <v>1</v>
      </c>
      <c r="U20" s="27" t="str">
        <f t="shared" si="2"/>
        <v>Realizada a Tiempo</v>
      </c>
      <c r="V20" s="28" t="str">
        <f t="shared" si="3"/>
        <v>Cerrada</v>
      </c>
      <c r="W20" s="72">
        <v>1</v>
      </c>
      <c r="X20" s="29" t="s">
        <v>624</v>
      </c>
      <c r="Y20" s="28" t="s">
        <v>58</v>
      </c>
      <c r="Z20" s="35">
        <v>365</v>
      </c>
      <c r="AA20" s="36" t="s">
        <v>50</v>
      </c>
      <c r="AB20" s="31">
        <f>Tabla1[[#This Row],[Fecha de Entrega
End Date]]+$Z20</f>
        <v>46092</v>
      </c>
      <c r="AC20" s="38" t="s">
        <v>625</v>
      </c>
      <c r="AD20" s="70" t="s">
        <v>386</v>
      </c>
      <c r="AE20" s="37" t="s">
        <v>626</v>
      </c>
    </row>
    <row r="21" spans="1:32" ht="28.5" customHeight="1" x14ac:dyDescent="0.3">
      <c r="A21" s="2">
        <v>45723</v>
      </c>
      <c r="B21" s="111">
        <f>IF(Tabla1[[#This Row],[Origin Date ]]&lt;&gt;"",1+B20,"")</f>
        <v>17</v>
      </c>
      <c r="C21" s="22"/>
      <c r="D21" s="22"/>
      <c r="E21" s="21" t="s">
        <v>264</v>
      </c>
      <c r="F21" s="21" t="s">
        <v>261</v>
      </c>
      <c r="G21" s="22" t="s">
        <v>224</v>
      </c>
      <c r="H21" s="23" t="str">
        <f t="shared" si="0"/>
        <v>ATENDIDO</v>
      </c>
      <c r="I21" s="24" t="s">
        <v>21</v>
      </c>
      <c r="J21" s="24" t="s">
        <v>16</v>
      </c>
      <c r="K21" s="71" t="s">
        <v>124</v>
      </c>
      <c r="L21" s="24" t="s">
        <v>77</v>
      </c>
      <c r="M21" s="25" t="s">
        <v>86</v>
      </c>
      <c r="N21" s="24" t="s">
        <v>185</v>
      </c>
      <c r="O21" s="25" t="s">
        <v>208</v>
      </c>
      <c r="P21" s="112" t="s">
        <v>293</v>
      </c>
      <c r="Q21" s="25" t="s">
        <v>229</v>
      </c>
      <c r="R21" s="2">
        <f>Tabla1[[#This Row],[Origin Date ]]+3</f>
        <v>45726</v>
      </c>
      <c r="S21" s="2">
        <v>45724</v>
      </c>
      <c r="T21" s="26">
        <f t="shared" si="1"/>
        <v>-2</v>
      </c>
      <c r="U21" s="27" t="str">
        <f t="shared" si="2"/>
        <v>Realizada a Tiempo</v>
      </c>
      <c r="V21" s="28" t="str">
        <f t="shared" si="3"/>
        <v>Cerrada</v>
      </c>
      <c r="W21" s="72">
        <v>1</v>
      </c>
      <c r="X21" s="29"/>
      <c r="Y21" s="28" t="s">
        <v>58</v>
      </c>
      <c r="Z21" s="35">
        <v>365</v>
      </c>
      <c r="AA21" s="36" t="s">
        <v>50</v>
      </c>
      <c r="AB21" s="31">
        <f>Tabla1[[#This Row],[Fecha de Entrega
End Date]]+$Z21</f>
        <v>46089</v>
      </c>
      <c r="AC21" s="30"/>
      <c r="AD21" s="70" t="s">
        <v>386</v>
      </c>
      <c r="AE21" s="37" t="s">
        <v>282</v>
      </c>
    </row>
    <row r="22" spans="1:32" ht="28.5" customHeight="1" x14ac:dyDescent="0.3">
      <c r="A22" s="2">
        <v>45782</v>
      </c>
      <c r="B22" s="111">
        <f>IF(Tabla1[[#This Row],[Origin Date ]]&lt;&gt;"",1+B21,"")</f>
        <v>18</v>
      </c>
      <c r="C22" s="22"/>
      <c r="D22" s="22"/>
      <c r="E22" s="21" t="s">
        <v>265</v>
      </c>
      <c r="F22" s="21" t="s">
        <v>695</v>
      </c>
      <c r="G22" s="22" t="s">
        <v>224</v>
      </c>
      <c r="H22" s="23" t="str">
        <f t="shared" si="0"/>
        <v>ALTA</v>
      </c>
      <c r="I22" s="24" t="s">
        <v>21</v>
      </c>
      <c r="J22" s="24" t="s">
        <v>16</v>
      </c>
      <c r="K22" s="71" t="s">
        <v>124</v>
      </c>
      <c r="L22" s="24" t="s">
        <v>77</v>
      </c>
      <c r="M22" s="25" t="s">
        <v>86</v>
      </c>
      <c r="N22" s="24" t="s">
        <v>185</v>
      </c>
      <c r="O22" s="25" t="s">
        <v>208</v>
      </c>
      <c r="P22" s="112" t="s">
        <v>293</v>
      </c>
      <c r="Q22" s="25" t="s">
        <v>229</v>
      </c>
      <c r="R22" s="2">
        <f>Tabla1[[#This Row],[Origin Date ]]+3</f>
        <v>45785</v>
      </c>
      <c r="S22" s="2"/>
      <c r="T22" s="26" t="str">
        <f t="shared" si="1"/>
        <v>-</v>
      </c>
      <c r="U22" s="27" t="str">
        <f t="shared" ca="1" si="2"/>
        <v>Atrasada</v>
      </c>
      <c r="V22" s="28" t="str">
        <f t="shared" si="3"/>
        <v>Abierta</v>
      </c>
      <c r="W22" s="72">
        <v>0.5</v>
      </c>
      <c r="X22" s="29" t="s">
        <v>725</v>
      </c>
      <c r="Y22" s="28" t="s">
        <v>58</v>
      </c>
      <c r="Z22" s="35">
        <v>365</v>
      </c>
      <c r="AA22" s="36" t="s">
        <v>49</v>
      </c>
      <c r="AB22" s="31">
        <f>Tabla1[[#This Row],[Fecha de Entrega
End Date]]+$Z22</f>
        <v>365</v>
      </c>
      <c r="AC22" s="30"/>
      <c r="AD22" s="70" t="s">
        <v>585</v>
      </c>
      <c r="AE22" s="37" t="s">
        <v>282</v>
      </c>
    </row>
    <row r="23" spans="1:32" ht="31.5" customHeight="1" x14ac:dyDescent="0.3">
      <c r="A23" s="2">
        <v>45723</v>
      </c>
      <c r="B23" s="111">
        <f>IF(Tabla1[[#This Row],[Origin Date ]]&lt;&gt;"",1+B22,"")</f>
        <v>19</v>
      </c>
      <c r="C23" s="22"/>
      <c r="D23" s="22"/>
      <c r="E23" s="21" t="s">
        <v>269</v>
      </c>
      <c r="F23" s="21" t="s">
        <v>283</v>
      </c>
      <c r="G23" s="22" t="s">
        <v>224</v>
      </c>
      <c r="H23" s="23" t="str">
        <f t="shared" si="0"/>
        <v>ATENDIDO</v>
      </c>
      <c r="I23" s="24" t="s">
        <v>21</v>
      </c>
      <c r="J23" s="24" t="s">
        <v>16</v>
      </c>
      <c r="K23" s="71" t="s">
        <v>124</v>
      </c>
      <c r="L23" s="24" t="s">
        <v>77</v>
      </c>
      <c r="M23" s="25" t="s">
        <v>86</v>
      </c>
      <c r="N23" s="24" t="s">
        <v>188</v>
      </c>
      <c r="O23" s="25" t="s">
        <v>208</v>
      </c>
      <c r="P23" s="112" t="s">
        <v>293</v>
      </c>
      <c r="Q23" s="25" t="s">
        <v>320</v>
      </c>
      <c r="R23" s="2">
        <f>Tabla1[[#This Row],[Origin Date ]]+3</f>
        <v>45726</v>
      </c>
      <c r="S23" s="2">
        <v>45728</v>
      </c>
      <c r="T23" s="26">
        <f t="shared" si="1"/>
        <v>2</v>
      </c>
      <c r="U23" s="27" t="str">
        <f t="shared" si="2"/>
        <v>Realizada a Tiempo</v>
      </c>
      <c r="V23" s="28" t="str">
        <f t="shared" si="3"/>
        <v>Cerrada</v>
      </c>
      <c r="W23" s="72">
        <v>0.7</v>
      </c>
      <c r="X23" s="29"/>
      <c r="Y23" s="28" t="s">
        <v>58</v>
      </c>
      <c r="Z23" s="35">
        <v>365</v>
      </c>
      <c r="AA23" s="36" t="s">
        <v>50</v>
      </c>
      <c r="AB23" s="31">
        <f>Tabla1[[#This Row],[Fecha de Entrega
End Date]]+$Z23</f>
        <v>46093</v>
      </c>
      <c r="AC23" s="30"/>
      <c r="AD23" s="70" t="s">
        <v>387</v>
      </c>
      <c r="AE23" s="37" t="s">
        <v>474</v>
      </c>
    </row>
    <row r="24" spans="1:32" ht="34.5" customHeight="1" x14ac:dyDescent="0.3">
      <c r="A24" s="2">
        <v>45723</v>
      </c>
      <c r="B24" s="111">
        <f>IF(Tabla1[[#This Row],[Origin Date ]]&lt;&gt;"",1+B23,"")</f>
        <v>20</v>
      </c>
      <c r="C24" s="22"/>
      <c r="D24" s="22"/>
      <c r="E24" s="21" t="s">
        <v>475</v>
      </c>
      <c r="F24" s="21" t="s">
        <v>270</v>
      </c>
      <c r="G24" s="22" t="s">
        <v>224</v>
      </c>
      <c r="H24" s="23" t="str">
        <f t="shared" si="0"/>
        <v>ATENDIDO</v>
      </c>
      <c r="I24" s="24" t="s">
        <v>21</v>
      </c>
      <c r="J24" s="24" t="s">
        <v>16</v>
      </c>
      <c r="K24" s="71" t="s">
        <v>124</v>
      </c>
      <c r="L24" s="24" t="s">
        <v>77</v>
      </c>
      <c r="M24" s="25" t="s">
        <v>86</v>
      </c>
      <c r="N24" s="24" t="s">
        <v>209</v>
      </c>
      <c r="O24" s="25" t="s">
        <v>208</v>
      </c>
      <c r="P24" s="112" t="s">
        <v>293</v>
      </c>
      <c r="Q24" s="25" t="s">
        <v>93</v>
      </c>
      <c r="R24" s="2">
        <f>Tabla1[[#This Row],[Origin Date ]]+3</f>
        <v>45726</v>
      </c>
      <c r="S24" s="2">
        <v>45723</v>
      </c>
      <c r="T24" s="26">
        <f t="shared" si="1"/>
        <v>-3</v>
      </c>
      <c r="U24" s="27" t="str">
        <f t="shared" si="2"/>
        <v>Realizada a Tiempo</v>
      </c>
      <c r="V24" s="28" t="str">
        <f t="shared" si="3"/>
        <v>Cerrada</v>
      </c>
      <c r="W24" s="72">
        <v>0.9</v>
      </c>
      <c r="X24" s="29"/>
      <c r="Y24" s="28" t="s">
        <v>58</v>
      </c>
      <c r="Z24" s="35">
        <v>365</v>
      </c>
      <c r="AA24" s="36" t="s">
        <v>50</v>
      </c>
      <c r="AB24" s="31">
        <f>Tabla1[[#This Row],[Fecha de Entrega
End Date]]+$Z24</f>
        <v>46088</v>
      </c>
      <c r="AC24" s="30"/>
      <c r="AD24" s="70" t="s">
        <v>386</v>
      </c>
      <c r="AE24" s="37" t="s">
        <v>281</v>
      </c>
    </row>
    <row r="25" spans="1:32" ht="42.75" customHeight="1" x14ac:dyDescent="0.3">
      <c r="A25" s="2">
        <v>45726</v>
      </c>
      <c r="B25" s="111">
        <f>IF(Tabla1[[#This Row],[Origin Date ]]&lt;&gt;"",1+B24,"")</f>
        <v>21</v>
      </c>
      <c r="C25" s="22"/>
      <c r="D25" s="22"/>
      <c r="E25" s="21" t="s">
        <v>274</v>
      </c>
      <c r="F25" s="21" t="s">
        <v>272</v>
      </c>
      <c r="G25" s="22" t="s">
        <v>277</v>
      </c>
      <c r="H25" s="23" t="str">
        <f t="shared" si="0"/>
        <v>ATENDIDO</v>
      </c>
      <c r="I25" s="24" t="s">
        <v>21</v>
      </c>
      <c r="J25" s="24" t="s">
        <v>16</v>
      </c>
      <c r="K25" s="71" t="s">
        <v>124</v>
      </c>
      <c r="L25" s="24" t="s">
        <v>77</v>
      </c>
      <c r="M25" s="25" t="s">
        <v>86</v>
      </c>
      <c r="N25" s="24" t="s">
        <v>209</v>
      </c>
      <c r="O25" s="25" t="s">
        <v>208</v>
      </c>
      <c r="P25" s="112" t="s">
        <v>293</v>
      </c>
      <c r="Q25" s="25" t="s">
        <v>93</v>
      </c>
      <c r="R25" s="2">
        <f>Tabla1[[#This Row],[Origin Date ]]+3</f>
        <v>45729</v>
      </c>
      <c r="S25" s="2">
        <v>45729</v>
      </c>
      <c r="T25" s="26">
        <f t="shared" si="1"/>
        <v>0</v>
      </c>
      <c r="U25" s="27" t="str">
        <f t="shared" si="2"/>
        <v>Realizada a Tiempo</v>
      </c>
      <c r="V25" s="28" t="str">
        <f t="shared" si="3"/>
        <v>Cerrada</v>
      </c>
      <c r="W25" s="72">
        <v>1</v>
      </c>
      <c r="X25" s="29" t="s">
        <v>337</v>
      </c>
      <c r="Y25" s="28" t="s">
        <v>58</v>
      </c>
      <c r="Z25" s="35">
        <v>365</v>
      </c>
      <c r="AA25" s="36" t="s">
        <v>50</v>
      </c>
      <c r="AB25" s="31">
        <f>Tabla1[[#This Row],[Fecha de Entrega
End Date]]+$Z25</f>
        <v>46094</v>
      </c>
      <c r="AC25" s="38" t="s">
        <v>509</v>
      </c>
      <c r="AD25" s="70" t="s">
        <v>386</v>
      </c>
      <c r="AE25" s="37"/>
    </row>
    <row r="26" spans="1:32" ht="39.75" customHeight="1" x14ac:dyDescent="0.3">
      <c r="A26" s="2">
        <v>45782</v>
      </c>
      <c r="B26" s="111">
        <f>IF(Tabla1[[#This Row],[Origin Date ]]&lt;&gt;"",1+B25,"")</f>
        <v>22</v>
      </c>
      <c r="C26" s="22"/>
      <c r="D26" s="22"/>
      <c r="E26" s="21" t="s">
        <v>275</v>
      </c>
      <c r="F26" s="21" t="s">
        <v>273</v>
      </c>
      <c r="G26" s="22" t="s">
        <v>278</v>
      </c>
      <c r="H26" s="23" t="str">
        <f t="shared" si="0"/>
        <v>ALTA</v>
      </c>
      <c r="I26" s="24" t="s">
        <v>21</v>
      </c>
      <c r="J26" s="24" t="s">
        <v>16</v>
      </c>
      <c r="K26" s="71" t="s">
        <v>124</v>
      </c>
      <c r="L26" s="24" t="s">
        <v>77</v>
      </c>
      <c r="M26" s="25" t="s">
        <v>86</v>
      </c>
      <c r="N26" s="24" t="s">
        <v>211</v>
      </c>
      <c r="O26" s="25" t="s">
        <v>208</v>
      </c>
      <c r="P26" s="112" t="s">
        <v>293</v>
      </c>
      <c r="Q26" s="25" t="s">
        <v>93</v>
      </c>
      <c r="R26" s="2">
        <f>Tabla1[[#This Row],[Origin Date ]]+3</f>
        <v>45785</v>
      </c>
      <c r="S26" s="2"/>
      <c r="T26" s="26" t="str">
        <f t="shared" si="1"/>
        <v>-</v>
      </c>
      <c r="U26" s="27" t="str">
        <f t="shared" ca="1" si="2"/>
        <v>Atrasada</v>
      </c>
      <c r="V26" s="28" t="str">
        <f t="shared" si="3"/>
        <v>Abierta</v>
      </c>
      <c r="W26" s="72">
        <v>0.3</v>
      </c>
      <c r="X26" s="29"/>
      <c r="Y26" s="28" t="s">
        <v>58</v>
      </c>
      <c r="Z26" s="35">
        <v>365</v>
      </c>
      <c r="AA26" s="36" t="s">
        <v>49</v>
      </c>
      <c r="AB26" s="31">
        <f>Tabla1[[#This Row],[Fecha de Entrega
End Date]]+$Z26</f>
        <v>365</v>
      </c>
      <c r="AC26" s="30"/>
      <c r="AD26" s="70" t="s">
        <v>585</v>
      </c>
      <c r="AE26" s="37"/>
    </row>
    <row r="27" spans="1:32" ht="52.5" customHeight="1" x14ac:dyDescent="0.3">
      <c r="A27" s="2">
        <v>45726</v>
      </c>
      <c r="B27" s="141">
        <f>IF(Tabla1[[#This Row],[Origin Date ]]&lt;&gt;"",1+B26,"")</f>
        <v>23</v>
      </c>
      <c r="C27" s="149"/>
      <c r="D27" s="149"/>
      <c r="E27" s="39" t="s">
        <v>276</v>
      </c>
      <c r="F27" s="39" t="s">
        <v>279</v>
      </c>
      <c r="G27" s="22" t="s">
        <v>278</v>
      </c>
      <c r="H27" s="23" t="str">
        <f t="shared" si="0"/>
        <v>ATENDIDO</v>
      </c>
      <c r="I27" s="24" t="s">
        <v>21</v>
      </c>
      <c r="J27" s="24" t="s">
        <v>16</v>
      </c>
      <c r="K27" s="71" t="s">
        <v>124</v>
      </c>
      <c r="L27" s="24" t="s">
        <v>77</v>
      </c>
      <c r="M27" s="25" t="s">
        <v>86</v>
      </c>
      <c r="N27" s="24" t="s">
        <v>211</v>
      </c>
      <c r="O27" s="25" t="s">
        <v>208</v>
      </c>
      <c r="P27" s="112" t="s">
        <v>181</v>
      </c>
      <c r="Q27" s="25" t="s">
        <v>320</v>
      </c>
      <c r="R27" s="2">
        <f>Tabla1[[#This Row],[Origin Date ]]+3</f>
        <v>45729</v>
      </c>
      <c r="S27" s="2">
        <v>45727</v>
      </c>
      <c r="T27" s="40">
        <f t="shared" ref="T27:T32" si="4">IF((R27=""),"",IF((V27="Cerrada"),(S27-R27),IF((($AA$2-R27)&lt;=0),"-",($AA$2-R27))))</f>
        <v>-2</v>
      </c>
      <c r="U27" s="27" t="str">
        <f t="shared" si="2"/>
        <v>Realizada a Tiempo</v>
      </c>
      <c r="V27" s="28" t="str">
        <f t="shared" si="3"/>
        <v>Cerrada</v>
      </c>
      <c r="W27" s="72">
        <v>1</v>
      </c>
      <c r="X27" s="29"/>
      <c r="Y27" s="28" t="s">
        <v>58</v>
      </c>
      <c r="Z27" s="35">
        <v>365</v>
      </c>
      <c r="AA27" s="36" t="s">
        <v>50</v>
      </c>
      <c r="AB27" s="31">
        <f>Tabla1[[#This Row],[Fecha de Entrega
End Date]]+$Z27</f>
        <v>46092</v>
      </c>
      <c r="AC27" s="41"/>
      <c r="AD27" s="70" t="s">
        <v>386</v>
      </c>
      <c r="AE27" s="42" t="s">
        <v>280</v>
      </c>
      <c r="AF27" s="43"/>
    </row>
    <row r="28" spans="1:32" ht="44.25" customHeight="1" x14ac:dyDescent="0.3">
      <c r="A28" s="2">
        <v>45724</v>
      </c>
      <c r="B28" s="111">
        <f>IF(Tabla1[[#This Row],[Origin Date ]]&lt;&gt;"",1+B27,"")</f>
        <v>24</v>
      </c>
      <c r="C28" s="22"/>
      <c r="D28" s="22"/>
      <c r="E28" s="21" t="s">
        <v>476</v>
      </c>
      <c r="F28" s="21" t="s">
        <v>510</v>
      </c>
      <c r="G28" s="22" t="s">
        <v>224</v>
      </c>
      <c r="H28" s="23" t="str">
        <f t="shared" si="0"/>
        <v>ATENDIDO</v>
      </c>
      <c r="I28" s="24" t="s">
        <v>21</v>
      </c>
      <c r="J28" s="24" t="s">
        <v>16</v>
      </c>
      <c r="K28" s="71" t="s">
        <v>116</v>
      </c>
      <c r="L28" s="24" t="s">
        <v>77</v>
      </c>
      <c r="M28" s="25" t="s">
        <v>86</v>
      </c>
      <c r="N28" s="24" t="s">
        <v>209</v>
      </c>
      <c r="O28" s="25" t="s">
        <v>208</v>
      </c>
      <c r="P28" s="112" t="s">
        <v>73</v>
      </c>
      <c r="Q28" s="25" t="s">
        <v>320</v>
      </c>
      <c r="R28" s="2">
        <f>Tabla1[[#This Row],[Origin Date ]]+3</f>
        <v>45727</v>
      </c>
      <c r="S28" s="2">
        <v>45727</v>
      </c>
      <c r="T28" s="40">
        <f t="shared" si="4"/>
        <v>0</v>
      </c>
      <c r="U28" s="27" t="str">
        <f t="shared" si="2"/>
        <v>Realizada a Tiempo</v>
      </c>
      <c r="V28" s="28" t="str">
        <f t="shared" si="3"/>
        <v>Cerrada</v>
      </c>
      <c r="W28" s="72">
        <v>1</v>
      </c>
      <c r="X28" s="29"/>
      <c r="Y28" s="28" t="s">
        <v>58</v>
      </c>
      <c r="Z28" s="35">
        <v>365</v>
      </c>
      <c r="AA28" s="36" t="s">
        <v>50</v>
      </c>
      <c r="AB28" s="31">
        <f>Tabla1[[#This Row],[Fecha de Entrega
End Date]]+$Z28</f>
        <v>46092</v>
      </c>
      <c r="AC28" s="41"/>
      <c r="AD28" s="70" t="s">
        <v>386</v>
      </c>
      <c r="AE28" s="42"/>
      <c r="AF28" s="43"/>
    </row>
    <row r="29" spans="1:32" ht="51" customHeight="1" x14ac:dyDescent="0.3">
      <c r="A29" s="2">
        <v>45727</v>
      </c>
      <c r="B29" s="111">
        <f>IF(Tabla1[[#This Row],[Origin Date ]]&lt;&gt;"",1+B28,"")</f>
        <v>25</v>
      </c>
      <c r="C29" s="22"/>
      <c r="D29" s="22"/>
      <c r="E29" s="21" t="s">
        <v>477</v>
      </c>
      <c r="F29" s="21" t="s">
        <v>511</v>
      </c>
      <c r="G29" s="22" t="s">
        <v>224</v>
      </c>
      <c r="H29" s="23" t="str">
        <f t="shared" si="0"/>
        <v>ATENDIDO</v>
      </c>
      <c r="I29" s="24" t="s">
        <v>21</v>
      </c>
      <c r="J29" s="24" t="s">
        <v>16</v>
      </c>
      <c r="K29" s="71" t="s">
        <v>124</v>
      </c>
      <c r="L29" s="24" t="s">
        <v>77</v>
      </c>
      <c r="M29" s="25" t="s">
        <v>86</v>
      </c>
      <c r="N29" s="24" t="s">
        <v>209</v>
      </c>
      <c r="O29" s="25" t="s">
        <v>208</v>
      </c>
      <c r="P29" s="112" t="s">
        <v>73</v>
      </c>
      <c r="Q29" s="25" t="s">
        <v>93</v>
      </c>
      <c r="R29" s="2">
        <f>Tabla1[[#This Row],[Origin Date ]]+3</f>
        <v>45730</v>
      </c>
      <c r="S29" s="2">
        <v>45734</v>
      </c>
      <c r="T29" s="40">
        <f t="shared" si="4"/>
        <v>4</v>
      </c>
      <c r="U29" s="27" t="str">
        <f t="shared" si="2"/>
        <v>Realizada a Tiempo</v>
      </c>
      <c r="V29" s="28" t="str">
        <f t="shared" si="3"/>
        <v>Cerrada</v>
      </c>
      <c r="W29" s="72">
        <v>0.8</v>
      </c>
      <c r="X29" s="29"/>
      <c r="Y29" s="28" t="s">
        <v>58</v>
      </c>
      <c r="Z29" s="35">
        <v>365</v>
      </c>
      <c r="AA29" s="36" t="s">
        <v>50</v>
      </c>
      <c r="AB29" s="31">
        <f>Tabla1[[#This Row],[Fecha de Entrega
End Date]]+$Z29</f>
        <v>46099</v>
      </c>
      <c r="AC29" s="44"/>
      <c r="AD29" s="70" t="s">
        <v>386</v>
      </c>
      <c r="AE29" s="37" t="s">
        <v>325</v>
      </c>
      <c r="AF29" s="43"/>
    </row>
    <row r="30" spans="1:32" ht="32.25" customHeight="1" x14ac:dyDescent="0.3">
      <c r="A30" s="2">
        <v>45728</v>
      </c>
      <c r="B30" s="141">
        <f>IF(Tabla1[[#This Row],[Origin Date ]]&lt;&gt;"",1+B29,"")</f>
        <v>26</v>
      </c>
      <c r="C30" s="149"/>
      <c r="D30" s="149"/>
      <c r="E30" s="39" t="s">
        <v>306</v>
      </c>
      <c r="F30" s="21" t="s">
        <v>307</v>
      </c>
      <c r="G30" s="22" t="s">
        <v>224</v>
      </c>
      <c r="H30" s="23" t="str">
        <f t="shared" si="0"/>
        <v>ATENDIDO</v>
      </c>
      <c r="I30" s="24" t="s">
        <v>21</v>
      </c>
      <c r="J30" s="24" t="s">
        <v>16</v>
      </c>
      <c r="K30" s="71" t="s">
        <v>124</v>
      </c>
      <c r="L30" s="24" t="s">
        <v>77</v>
      </c>
      <c r="M30" s="25" t="s">
        <v>86</v>
      </c>
      <c r="N30" s="24" t="s">
        <v>209</v>
      </c>
      <c r="O30" s="25" t="s">
        <v>208</v>
      </c>
      <c r="P30" s="112" t="s">
        <v>73</v>
      </c>
      <c r="Q30" s="25" t="s">
        <v>320</v>
      </c>
      <c r="R30" s="2">
        <f>Tabla1[[#This Row],[Origin Date ]]+3</f>
        <v>45731</v>
      </c>
      <c r="S30" s="2">
        <v>45729</v>
      </c>
      <c r="T30" s="40">
        <f t="shared" si="4"/>
        <v>-2</v>
      </c>
      <c r="U30" s="27" t="str">
        <f t="shared" si="2"/>
        <v>Realizada a Tiempo</v>
      </c>
      <c r="V30" s="28" t="str">
        <f t="shared" si="3"/>
        <v>Cerrada</v>
      </c>
      <c r="W30" s="72">
        <v>1</v>
      </c>
      <c r="X30" s="29"/>
      <c r="Y30" s="28" t="s">
        <v>58</v>
      </c>
      <c r="Z30" s="35">
        <v>365</v>
      </c>
      <c r="AA30" s="36" t="s">
        <v>50</v>
      </c>
      <c r="AB30" s="31">
        <f>Tabla1[[#This Row],[Fecha de Entrega
End Date]]+$Z30</f>
        <v>46094</v>
      </c>
      <c r="AC30" s="44"/>
      <c r="AD30" s="70" t="s">
        <v>386</v>
      </c>
      <c r="AE30" s="42" t="s">
        <v>312</v>
      </c>
      <c r="AF30" s="43"/>
    </row>
    <row r="31" spans="1:32" ht="63" customHeight="1" x14ac:dyDescent="0.3">
      <c r="A31" s="2">
        <v>45724</v>
      </c>
      <c r="B31" s="111">
        <f>IF(Tabla1[[#This Row],[Origin Date ]]&lt;&gt;"",1+B30,"")</f>
        <v>27</v>
      </c>
      <c r="C31" s="22"/>
      <c r="D31" s="22"/>
      <c r="E31" s="21" t="s">
        <v>288</v>
      </c>
      <c r="F31" s="21" t="s">
        <v>286</v>
      </c>
      <c r="G31" s="22" t="s">
        <v>224</v>
      </c>
      <c r="H31" s="23" t="str">
        <f t="shared" si="0"/>
        <v>ATENDIDO</v>
      </c>
      <c r="I31" s="24" t="s">
        <v>21</v>
      </c>
      <c r="J31" s="24" t="s">
        <v>16</v>
      </c>
      <c r="K31" s="71" t="s">
        <v>124</v>
      </c>
      <c r="L31" s="24" t="s">
        <v>77</v>
      </c>
      <c r="M31" s="25" t="s">
        <v>86</v>
      </c>
      <c r="N31" s="24" t="s">
        <v>209</v>
      </c>
      <c r="O31" s="25" t="s">
        <v>208</v>
      </c>
      <c r="P31" s="112" t="s">
        <v>73</v>
      </c>
      <c r="Q31" s="25" t="s">
        <v>93</v>
      </c>
      <c r="R31" s="2">
        <f>Tabla1[[#This Row],[Origin Date ]]+3</f>
        <v>45727</v>
      </c>
      <c r="S31" s="2">
        <v>45728</v>
      </c>
      <c r="T31" s="40">
        <f t="shared" si="4"/>
        <v>1</v>
      </c>
      <c r="U31" s="27" t="str">
        <f t="shared" si="2"/>
        <v>Realizada a Tiempo</v>
      </c>
      <c r="V31" s="28" t="str">
        <f t="shared" si="3"/>
        <v>Cerrada</v>
      </c>
      <c r="W31" s="72">
        <v>1</v>
      </c>
      <c r="X31" s="29"/>
      <c r="Y31" s="28" t="s">
        <v>58</v>
      </c>
      <c r="Z31" s="35">
        <v>365</v>
      </c>
      <c r="AA31" s="36" t="s">
        <v>50</v>
      </c>
      <c r="AB31" s="31">
        <f>Tabla1[[#This Row],[Fecha de Entrega
End Date]]+$Z31</f>
        <v>46093</v>
      </c>
      <c r="AC31" s="45" t="s">
        <v>287</v>
      </c>
      <c r="AD31" s="70" t="s">
        <v>387</v>
      </c>
      <c r="AE31" s="37"/>
      <c r="AF31" s="43"/>
    </row>
    <row r="32" spans="1:32" ht="36.75" customHeight="1" x14ac:dyDescent="0.3">
      <c r="A32" s="2">
        <v>45728</v>
      </c>
      <c r="B32" s="141">
        <f>IF(Tabla1[[#This Row],[Origin Date ]]&lt;&gt;"",1+B31,"")</f>
        <v>28</v>
      </c>
      <c r="C32" s="149"/>
      <c r="D32" s="149"/>
      <c r="E32" s="39" t="s">
        <v>298</v>
      </c>
      <c r="F32" s="39" t="s">
        <v>285</v>
      </c>
      <c r="G32" s="22" t="s">
        <v>224</v>
      </c>
      <c r="H32" s="23" t="str">
        <f t="shared" si="0"/>
        <v>ATENDIDO</v>
      </c>
      <c r="I32" s="24" t="s">
        <v>21</v>
      </c>
      <c r="J32" s="24" t="s">
        <v>16</v>
      </c>
      <c r="K32" s="71" t="s">
        <v>124</v>
      </c>
      <c r="L32" s="24" t="s">
        <v>77</v>
      </c>
      <c r="M32" s="25" t="s">
        <v>86</v>
      </c>
      <c r="N32" s="24" t="s">
        <v>209</v>
      </c>
      <c r="O32" s="25" t="s">
        <v>208</v>
      </c>
      <c r="P32" s="112" t="s">
        <v>230</v>
      </c>
      <c r="Q32" s="25" t="s">
        <v>93</v>
      </c>
      <c r="R32" s="2">
        <f>Tabla1[[#This Row],[Origin Date ]]+3</f>
        <v>45731</v>
      </c>
      <c r="S32" s="2">
        <v>45731</v>
      </c>
      <c r="T32" s="40">
        <f t="shared" si="4"/>
        <v>0</v>
      </c>
      <c r="U32" s="27" t="str">
        <f t="shared" si="2"/>
        <v>Realizada a Tiempo</v>
      </c>
      <c r="V32" s="28" t="str">
        <f t="shared" si="3"/>
        <v>Cerrada</v>
      </c>
      <c r="W32" s="72">
        <v>1</v>
      </c>
      <c r="X32" s="29" t="s">
        <v>315</v>
      </c>
      <c r="Y32" s="28" t="s">
        <v>58</v>
      </c>
      <c r="Z32" s="35">
        <v>365</v>
      </c>
      <c r="AA32" s="36" t="s">
        <v>50</v>
      </c>
      <c r="AB32" s="31">
        <f>Tabla1[[#This Row],[Fecha de Entrega
End Date]]+$Z32</f>
        <v>46096</v>
      </c>
      <c r="AC32" s="44"/>
      <c r="AD32" s="70" t="s">
        <v>386</v>
      </c>
      <c r="AE32" s="37" t="s">
        <v>512</v>
      </c>
      <c r="AF32" s="43"/>
    </row>
    <row r="33" spans="1:32" ht="51.75" customHeight="1" x14ac:dyDescent="0.3">
      <c r="A33" s="2">
        <v>45728</v>
      </c>
      <c r="B33" s="111">
        <f>IF(Tabla1[[#This Row],[Origin Date ]]&lt;&gt;"",1+B32,"")</f>
        <v>29</v>
      </c>
      <c r="C33" s="22"/>
      <c r="D33" s="22"/>
      <c r="E33" s="21" t="s">
        <v>478</v>
      </c>
      <c r="F33" s="21" t="s">
        <v>513</v>
      </c>
      <c r="G33" s="22" t="s">
        <v>224</v>
      </c>
      <c r="H33" s="23" t="str">
        <f t="shared" si="0"/>
        <v>ATENDIDO</v>
      </c>
      <c r="I33" s="24" t="s">
        <v>21</v>
      </c>
      <c r="J33" s="24" t="s">
        <v>16</v>
      </c>
      <c r="K33" s="71" t="s">
        <v>124</v>
      </c>
      <c r="L33" s="24" t="s">
        <v>77</v>
      </c>
      <c r="M33" s="25" t="s">
        <v>86</v>
      </c>
      <c r="N33" s="24" t="s">
        <v>209</v>
      </c>
      <c r="O33" s="25" t="s">
        <v>208</v>
      </c>
      <c r="P33" s="112" t="s">
        <v>463</v>
      </c>
      <c r="Q33" s="25" t="s">
        <v>320</v>
      </c>
      <c r="R33" s="2">
        <f>Tabla1[[#This Row],[Origin Date ]]+3</f>
        <v>45731</v>
      </c>
      <c r="S33" s="2">
        <v>45729</v>
      </c>
      <c r="T33" s="40">
        <f t="shared" ref="T33:T49" si="5">IF((R33=""),"",IF((V33="Cerrada"),(S33-R33),IF((($AA$2-R33)&lt;=0),"-",($AA$2-R33))))</f>
        <v>-2</v>
      </c>
      <c r="U33" s="27" t="str">
        <f t="shared" si="2"/>
        <v>Realizada a Tiempo</v>
      </c>
      <c r="V33" s="28" t="str">
        <f t="shared" si="3"/>
        <v>Cerrada</v>
      </c>
      <c r="W33" s="72">
        <v>1</v>
      </c>
      <c r="X33" s="54"/>
      <c r="Y33" s="28" t="s">
        <v>58</v>
      </c>
      <c r="Z33" s="35">
        <v>365</v>
      </c>
      <c r="AA33" s="36" t="s">
        <v>50</v>
      </c>
      <c r="AB33" s="31">
        <f>Tabla1[[#This Row],[Fecha de Entrega
End Date]]+$Z33</f>
        <v>46094</v>
      </c>
      <c r="AC33" s="41"/>
      <c r="AD33" s="70" t="s">
        <v>386</v>
      </c>
      <c r="AE33" s="42" t="s">
        <v>312</v>
      </c>
      <c r="AF33" s="43"/>
    </row>
    <row r="34" spans="1:32" ht="42" customHeight="1" x14ac:dyDescent="0.3">
      <c r="A34" s="2">
        <v>45728</v>
      </c>
      <c r="B34" s="111">
        <f>IF(Tabla1[[#This Row],[Origin Date ]]&lt;&gt;"",1+B33,"")</f>
        <v>30</v>
      </c>
      <c r="C34" s="22"/>
      <c r="D34" s="22"/>
      <c r="E34" s="21" t="s">
        <v>299</v>
      </c>
      <c r="F34" s="21" t="s">
        <v>289</v>
      </c>
      <c r="G34" s="22" t="s">
        <v>224</v>
      </c>
      <c r="H34" s="23" t="str">
        <f t="shared" si="0"/>
        <v>ATENDIDO</v>
      </c>
      <c r="I34" s="24" t="s">
        <v>21</v>
      </c>
      <c r="J34" s="24" t="s">
        <v>16</v>
      </c>
      <c r="K34" s="71" t="s">
        <v>124</v>
      </c>
      <c r="L34" s="24" t="s">
        <v>77</v>
      </c>
      <c r="M34" s="25" t="s">
        <v>86</v>
      </c>
      <c r="N34" s="24" t="s">
        <v>209</v>
      </c>
      <c r="O34" s="25" t="s">
        <v>208</v>
      </c>
      <c r="P34" s="112" t="s">
        <v>463</v>
      </c>
      <c r="Q34" s="25" t="s">
        <v>229</v>
      </c>
      <c r="R34" s="2">
        <f>Tabla1[[#This Row],[Origin Date ]]+3</f>
        <v>45731</v>
      </c>
      <c r="S34" s="2">
        <v>45729</v>
      </c>
      <c r="T34" s="40">
        <f t="shared" si="5"/>
        <v>-2</v>
      </c>
      <c r="U34" s="27" t="str">
        <f t="shared" si="2"/>
        <v>Realizada a Tiempo</v>
      </c>
      <c r="V34" s="28" t="str">
        <f t="shared" si="3"/>
        <v>Cerrada</v>
      </c>
      <c r="W34" s="72">
        <v>1</v>
      </c>
      <c r="X34" s="54"/>
      <c r="Y34" s="28" t="s">
        <v>58</v>
      </c>
      <c r="Z34" s="35">
        <v>365</v>
      </c>
      <c r="AA34" s="36" t="s">
        <v>50</v>
      </c>
      <c r="AB34" s="31">
        <f>Tabla1[[#This Row],[Fecha de Entrega
End Date]]+$Z34</f>
        <v>46094</v>
      </c>
      <c r="AC34" s="41"/>
      <c r="AD34" s="70" t="s">
        <v>386</v>
      </c>
      <c r="AE34" s="42" t="s">
        <v>312</v>
      </c>
      <c r="AF34" s="43"/>
    </row>
    <row r="35" spans="1:32" ht="40.5" customHeight="1" x14ac:dyDescent="0.3">
      <c r="A35" s="2">
        <v>45728</v>
      </c>
      <c r="B35" s="111">
        <f>IF(Tabla1[[#This Row],[Origin Date ]]&lt;&gt;"",1+B34,"")</f>
        <v>31</v>
      </c>
      <c r="C35" s="22"/>
      <c r="D35" s="22"/>
      <c r="E35" s="21" t="s">
        <v>300</v>
      </c>
      <c r="F35" s="21" t="s">
        <v>290</v>
      </c>
      <c r="G35" s="22" t="s">
        <v>224</v>
      </c>
      <c r="H35" s="23" t="str">
        <f t="shared" si="0"/>
        <v>ATENDIDO</v>
      </c>
      <c r="I35" s="24" t="s">
        <v>21</v>
      </c>
      <c r="J35" s="24" t="s">
        <v>16</v>
      </c>
      <c r="K35" s="71" t="s">
        <v>124</v>
      </c>
      <c r="L35" s="24" t="s">
        <v>77</v>
      </c>
      <c r="M35" s="25" t="s">
        <v>86</v>
      </c>
      <c r="N35" s="24" t="s">
        <v>209</v>
      </c>
      <c r="O35" s="25" t="s">
        <v>208</v>
      </c>
      <c r="P35" s="112" t="s">
        <v>463</v>
      </c>
      <c r="Q35" s="25" t="s">
        <v>229</v>
      </c>
      <c r="R35" s="2">
        <f>Tabla1[[#This Row],[Origin Date ]]+3</f>
        <v>45731</v>
      </c>
      <c r="S35" s="2">
        <v>45729</v>
      </c>
      <c r="T35" s="40">
        <f t="shared" si="5"/>
        <v>-2</v>
      </c>
      <c r="U35" s="27" t="str">
        <f t="shared" si="2"/>
        <v>Realizada a Tiempo</v>
      </c>
      <c r="V35" s="28" t="str">
        <f t="shared" si="3"/>
        <v>Cerrada</v>
      </c>
      <c r="W35" s="72">
        <v>1</v>
      </c>
      <c r="X35" s="29"/>
      <c r="Y35" s="28" t="s">
        <v>58</v>
      </c>
      <c r="Z35" s="35">
        <v>365</v>
      </c>
      <c r="AA35" s="36" t="s">
        <v>50</v>
      </c>
      <c r="AB35" s="31">
        <f>Tabla1[[#This Row],[Fecha de Entrega
End Date]]+$Z35</f>
        <v>46094</v>
      </c>
      <c r="AC35" s="41"/>
      <c r="AD35" s="70" t="s">
        <v>386</v>
      </c>
      <c r="AE35" s="42" t="s">
        <v>312</v>
      </c>
      <c r="AF35" s="43"/>
    </row>
    <row r="36" spans="1:32" ht="39.75" customHeight="1" x14ac:dyDescent="0.3">
      <c r="A36" s="2">
        <v>45728</v>
      </c>
      <c r="B36" s="111">
        <f>IF(Tabla1[[#This Row],[Origin Date ]]&lt;&gt;"",1+B35,"")</f>
        <v>32</v>
      </c>
      <c r="C36" s="22"/>
      <c r="D36" s="22"/>
      <c r="E36" s="21" t="s">
        <v>301</v>
      </c>
      <c r="F36" s="21" t="s">
        <v>291</v>
      </c>
      <c r="G36" s="22" t="s">
        <v>224</v>
      </c>
      <c r="H36" s="23" t="str">
        <f t="shared" si="0"/>
        <v>ATENDIDO</v>
      </c>
      <c r="I36" s="24" t="s">
        <v>21</v>
      </c>
      <c r="J36" s="24" t="s">
        <v>16</v>
      </c>
      <c r="K36" s="71" t="s">
        <v>124</v>
      </c>
      <c r="L36" s="24" t="s">
        <v>77</v>
      </c>
      <c r="M36" s="25" t="s">
        <v>86</v>
      </c>
      <c r="N36" s="24" t="s">
        <v>209</v>
      </c>
      <c r="O36" s="25" t="s">
        <v>208</v>
      </c>
      <c r="P36" s="112" t="s">
        <v>463</v>
      </c>
      <c r="Q36" s="25" t="s">
        <v>320</v>
      </c>
      <c r="R36" s="2">
        <f>Tabla1[[#This Row],[Origin Date ]]+3</f>
        <v>45731</v>
      </c>
      <c r="S36" s="2">
        <v>45729</v>
      </c>
      <c r="T36" s="40">
        <f t="shared" si="5"/>
        <v>-2</v>
      </c>
      <c r="U36" s="27" t="str">
        <f t="shared" si="2"/>
        <v>Realizada a Tiempo</v>
      </c>
      <c r="V36" s="28" t="str">
        <f t="shared" si="3"/>
        <v>Cerrada</v>
      </c>
      <c r="W36" s="72">
        <v>1</v>
      </c>
      <c r="X36" s="29"/>
      <c r="Y36" s="28" t="s">
        <v>58</v>
      </c>
      <c r="Z36" s="35">
        <v>365</v>
      </c>
      <c r="AA36" s="36" t="s">
        <v>50</v>
      </c>
      <c r="AB36" s="31">
        <f>Tabla1[[#This Row],[Fecha de Entrega
End Date]]+$Z36</f>
        <v>46094</v>
      </c>
      <c r="AC36" s="41"/>
      <c r="AD36" s="70" t="s">
        <v>386</v>
      </c>
      <c r="AE36" s="42" t="s">
        <v>312</v>
      </c>
      <c r="AF36" s="43"/>
    </row>
    <row r="37" spans="1:32" ht="48" customHeight="1" x14ac:dyDescent="0.3">
      <c r="A37" s="2">
        <v>45728</v>
      </c>
      <c r="B37" s="111">
        <f>IF(Tabla1[[#This Row],[Origin Date ]]&lt;&gt;"",1+B36,"")</f>
        <v>33</v>
      </c>
      <c r="C37" s="22"/>
      <c r="D37" s="22"/>
      <c r="E37" s="21" t="s">
        <v>302</v>
      </c>
      <c r="F37" s="21" t="s">
        <v>292</v>
      </c>
      <c r="G37" s="22" t="s">
        <v>224</v>
      </c>
      <c r="H37" s="23" t="str">
        <f t="shared" ref="H37:H68" si="6">IF((A37=""),"",IF((V37="Cerrada"),"ATENDIDO",IF(OR((($AA$2-A37)=0),(($AA$2-A37)=-1),(($AA$2-A37)=-2),(($AA$2-A37)=-3)),"BAJO",IF((T37="-3"),"MEDIO","ALTA"))))</f>
        <v>ATENDIDO</v>
      </c>
      <c r="I37" s="24" t="s">
        <v>21</v>
      </c>
      <c r="J37" s="24" t="s">
        <v>16</v>
      </c>
      <c r="K37" s="71" t="s">
        <v>124</v>
      </c>
      <c r="L37" s="24" t="s">
        <v>77</v>
      </c>
      <c r="M37" s="25" t="s">
        <v>86</v>
      </c>
      <c r="N37" s="24" t="s">
        <v>209</v>
      </c>
      <c r="O37" s="25" t="s">
        <v>208</v>
      </c>
      <c r="P37" s="112" t="s">
        <v>463</v>
      </c>
      <c r="Q37" s="25" t="s">
        <v>229</v>
      </c>
      <c r="R37" s="2">
        <f>Tabla1[[#This Row],[Origin Date ]]+3</f>
        <v>45731</v>
      </c>
      <c r="S37" s="2">
        <v>45729</v>
      </c>
      <c r="T37" s="40">
        <f t="shared" si="5"/>
        <v>-2</v>
      </c>
      <c r="U37" s="27" t="str">
        <f t="shared" ref="U37:U68" si="7">IF((R37=""),"",IF((V37="Cerrada"),"Realizada a Tiempo",IF(OR((($AB$2-R37)=0),(($AB$2-R37)=-1),(($AB$2-R37)=-2),(($AB$2-R37)=-3)),"Tiempo Límite",IF((T37="&gt;9"),"En Proceso","Atrasada"))))</f>
        <v>Realizada a Tiempo</v>
      </c>
      <c r="V37" s="28" t="str">
        <f t="shared" si="3"/>
        <v>Cerrada</v>
      </c>
      <c r="W37" s="72">
        <v>1</v>
      </c>
      <c r="X37" s="29"/>
      <c r="Y37" s="28" t="s">
        <v>58</v>
      </c>
      <c r="Z37" s="35">
        <v>365</v>
      </c>
      <c r="AA37" s="36" t="s">
        <v>50</v>
      </c>
      <c r="AB37" s="31">
        <f>Tabla1[[#This Row],[Fecha de Entrega
End Date]]+$Z37</f>
        <v>46094</v>
      </c>
      <c r="AC37" s="41"/>
      <c r="AD37" s="70" t="s">
        <v>386</v>
      </c>
      <c r="AE37" s="42" t="s">
        <v>312</v>
      </c>
      <c r="AF37" s="43"/>
    </row>
    <row r="38" spans="1:32" ht="39.75" customHeight="1" x14ac:dyDescent="0.3">
      <c r="A38" s="2">
        <v>45728</v>
      </c>
      <c r="B38" s="111">
        <f>IF(Tabla1[[#This Row],[Origin Date ]]&lt;&gt;"",1+B37,"")</f>
        <v>34</v>
      </c>
      <c r="C38" s="22"/>
      <c r="D38" s="22"/>
      <c r="E38" s="21" t="s">
        <v>310</v>
      </c>
      <c r="F38" s="21" t="s">
        <v>311</v>
      </c>
      <c r="G38" s="22" t="s">
        <v>224</v>
      </c>
      <c r="H38" s="23" t="str">
        <f t="shared" si="6"/>
        <v>ATENDIDO</v>
      </c>
      <c r="I38" s="24" t="s">
        <v>21</v>
      </c>
      <c r="J38" s="24" t="s">
        <v>16</v>
      </c>
      <c r="K38" s="71" t="s">
        <v>124</v>
      </c>
      <c r="L38" s="24" t="s">
        <v>77</v>
      </c>
      <c r="M38" s="25" t="s">
        <v>86</v>
      </c>
      <c r="N38" s="24" t="s">
        <v>185</v>
      </c>
      <c r="O38" s="25" t="s">
        <v>208</v>
      </c>
      <c r="P38" s="112" t="s">
        <v>463</v>
      </c>
      <c r="Q38" s="25" t="s">
        <v>93</v>
      </c>
      <c r="R38" s="2">
        <f>Tabla1[[#This Row],[Origin Date ]]+3</f>
        <v>45731</v>
      </c>
      <c r="S38" s="2">
        <v>45729</v>
      </c>
      <c r="T38" s="40">
        <f t="shared" si="5"/>
        <v>-2</v>
      </c>
      <c r="U38" s="27" t="str">
        <f t="shared" si="7"/>
        <v>Realizada a Tiempo</v>
      </c>
      <c r="V38" s="28" t="str">
        <f t="shared" si="3"/>
        <v>Cerrada</v>
      </c>
      <c r="W38" s="72">
        <v>1</v>
      </c>
      <c r="X38" s="29"/>
      <c r="Y38" s="28" t="s">
        <v>58</v>
      </c>
      <c r="Z38" s="35">
        <v>365</v>
      </c>
      <c r="AA38" s="36" t="s">
        <v>50</v>
      </c>
      <c r="AB38" s="31">
        <f>Tabla1[[#This Row],[Fecha de Entrega
End Date]]+$Z38</f>
        <v>46094</v>
      </c>
      <c r="AC38" s="41"/>
      <c r="AD38" s="70" t="s">
        <v>386</v>
      </c>
      <c r="AE38" s="42" t="s">
        <v>312</v>
      </c>
    </row>
    <row r="39" spans="1:32" ht="36.75" customHeight="1" x14ac:dyDescent="0.3">
      <c r="A39" s="2">
        <v>45728</v>
      </c>
      <c r="B39" s="111">
        <f>IF(Tabla1[[#This Row],[Origin Date ]]&lt;&gt;"",1+B38,"")</f>
        <v>35</v>
      </c>
      <c r="C39" s="22"/>
      <c r="D39" s="22"/>
      <c r="E39" s="21" t="s">
        <v>303</v>
      </c>
      <c r="F39" s="21" t="s">
        <v>294</v>
      </c>
      <c r="G39" s="22" t="s">
        <v>224</v>
      </c>
      <c r="H39" s="23" t="str">
        <f t="shared" si="6"/>
        <v>ATENDIDO</v>
      </c>
      <c r="I39" s="24" t="s">
        <v>21</v>
      </c>
      <c r="J39" s="24" t="s">
        <v>16</v>
      </c>
      <c r="K39" s="71" t="s">
        <v>116</v>
      </c>
      <c r="L39" s="24" t="s">
        <v>77</v>
      </c>
      <c r="M39" s="25" t="s">
        <v>86</v>
      </c>
      <c r="N39" s="24" t="s">
        <v>209</v>
      </c>
      <c r="O39" s="25" t="s">
        <v>208</v>
      </c>
      <c r="P39" s="112" t="s">
        <v>73</v>
      </c>
      <c r="Q39" s="25" t="s">
        <v>320</v>
      </c>
      <c r="R39" s="2">
        <f>Tabla1[[#This Row],[Origin Date ]]+3</f>
        <v>45731</v>
      </c>
      <c r="S39" s="2">
        <v>45730</v>
      </c>
      <c r="T39" s="40">
        <f t="shared" si="5"/>
        <v>-1</v>
      </c>
      <c r="U39" s="27" t="str">
        <f t="shared" si="7"/>
        <v>Realizada a Tiempo</v>
      </c>
      <c r="V39" s="28" t="str">
        <f t="shared" si="3"/>
        <v>Cerrada</v>
      </c>
      <c r="W39" s="72">
        <v>0.8</v>
      </c>
      <c r="X39" s="29"/>
      <c r="Y39" s="28" t="s">
        <v>58</v>
      </c>
      <c r="Z39" s="35">
        <v>365</v>
      </c>
      <c r="AA39" s="36" t="s">
        <v>49</v>
      </c>
      <c r="AB39" s="31">
        <f>Tabla1[[#This Row],[Fecha de Entrega
End Date]]+$Z39</f>
        <v>46095</v>
      </c>
      <c r="AC39" s="41"/>
      <c r="AD39" s="70" t="s">
        <v>585</v>
      </c>
      <c r="AE39" s="37" t="s">
        <v>479</v>
      </c>
    </row>
    <row r="40" spans="1:32" ht="35.25" customHeight="1" x14ac:dyDescent="0.3">
      <c r="A40" s="2">
        <v>45728</v>
      </c>
      <c r="B40" s="111">
        <f>IF(Tabla1[[#This Row],[Origin Date ]]&lt;&gt;"",1+B39,"")</f>
        <v>36</v>
      </c>
      <c r="C40" s="22"/>
      <c r="D40" s="22"/>
      <c r="E40" s="21" t="s">
        <v>304</v>
      </c>
      <c r="F40" s="21" t="s">
        <v>295</v>
      </c>
      <c r="G40" s="22" t="s">
        <v>224</v>
      </c>
      <c r="H40" s="23" t="str">
        <f t="shared" si="6"/>
        <v>ATENDIDO</v>
      </c>
      <c r="I40" s="24" t="s">
        <v>21</v>
      </c>
      <c r="J40" s="24" t="s">
        <v>16</v>
      </c>
      <c r="K40" s="71" t="s">
        <v>116</v>
      </c>
      <c r="L40" s="24" t="s">
        <v>77</v>
      </c>
      <c r="M40" s="25" t="s">
        <v>86</v>
      </c>
      <c r="N40" s="24" t="s">
        <v>209</v>
      </c>
      <c r="O40" s="25" t="s">
        <v>208</v>
      </c>
      <c r="P40" s="112" t="s">
        <v>73</v>
      </c>
      <c r="Q40" s="25" t="s">
        <v>320</v>
      </c>
      <c r="R40" s="2">
        <f>Tabla1[[#This Row],[Origin Date ]]+3</f>
        <v>45731</v>
      </c>
      <c r="S40" s="2">
        <v>45734</v>
      </c>
      <c r="T40" s="40">
        <f t="shared" si="5"/>
        <v>3</v>
      </c>
      <c r="U40" s="27" t="str">
        <f t="shared" si="7"/>
        <v>Realizada a Tiempo</v>
      </c>
      <c r="V40" s="28" t="str">
        <f t="shared" si="3"/>
        <v>Cerrada</v>
      </c>
      <c r="W40" s="72">
        <v>0.8</v>
      </c>
      <c r="X40" s="29"/>
      <c r="Y40" s="28" t="s">
        <v>58</v>
      </c>
      <c r="Z40" s="35">
        <v>365</v>
      </c>
      <c r="AA40" s="36" t="s">
        <v>49</v>
      </c>
      <c r="AB40" s="31">
        <f>Tabla1[[#This Row],[Fecha de Entrega
End Date]]+$Z40</f>
        <v>46099</v>
      </c>
      <c r="AC40" s="41"/>
      <c r="AD40" s="70" t="s">
        <v>585</v>
      </c>
      <c r="AE40" s="37" t="s">
        <v>479</v>
      </c>
    </row>
    <row r="41" spans="1:32" ht="42" customHeight="1" x14ac:dyDescent="0.3">
      <c r="A41" s="2">
        <v>45728</v>
      </c>
      <c r="B41" s="111">
        <f>IF(Tabla1[[#This Row],[Origin Date ]]&lt;&gt;"",1+B40,"")</f>
        <v>37</v>
      </c>
      <c r="C41" s="22"/>
      <c r="D41" s="22"/>
      <c r="E41" s="21" t="s">
        <v>305</v>
      </c>
      <c r="F41" s="21" t="s">
        <v>296</v>
      </c>
      <c r="G41" s="22" t="s">
        <v>224</v>
      </c>
      <c r="H41" s="23" t="str">
        <f t="shared" si="6"/>
        <v>ATENDIDO</v>
      </c>
      <c r="I41" s="24" t="s">
        <v>21</v>
      </c>
      <c r="J41" s="24" t="s">
        <v>16</v>
      </c>
      <c r="K41" s="71" t="s">
        <v>116</v>
      </c>
      <c r="L41" s="24" t="s">
        <v>77</v>
      </c>
      <c r="M41" s="25" t="s">
        <v>86</v>
      </c>
      <c r="N41" s="24" t="s">
        <v>209</v>
      </c>
      <c r="O41" s="25" t="s">
        <v>208</v>
      </c>
      <c r="P41" s="112" t="s">
        <v>73</v>
      </c>
      <c r="Q41" s="25" t="s">
        <v>229</v>
      </c>
      <c r="R41" s="2">
        <f>Tabla1[[#This Row],[Origin Date ]]+3</f>
        <v>45731</v>
      </c>
      <c r="S41" s="2">
        <v>45734</v>
      </c>
      <c r="T41" s="40">
        <f t="shared" si="5"/>
        <v>3</v>
      </c>
      <c r="U41" s="27" t="str">
        <f t="shared" si="7"/>
        <v>Realizada a Tiempo</v>
      </c>
      <c r="V41" s="28" t="str">
        <f t="shared" si="3"/>
        <v>Cerrada</v>
      </c>
      <c r="W41" s="72">
        <v>0.8</v>
      </c>
      <c r="X41" s="29"/>
      <c r="Y41" s="28" t="s">
        <v>58</v>
      </c>
      <c r="Z41" s="35">
        <v>365</v>
      </c>
      <c r="AA41" s="36" t="s">
        <v>49</v>
      </c>
      <c r="AB41" s="31">
        <f>Tabla1[[#This Row],[Fecha de Entrega
End Date]]+$Z41</f>
        <v>46099</v>
      </c>
      <c r="AC41" s="41"/>
      <c r="AD41" s="70" t="s">
        <v>585</v>
      </c>
      <c r="AE41" s="37" t="s">
        <v>479</v>
      </c>
    </row>
    <row r="42" spans="1:32" ht="29.25" customHeight="1" x14ac:dyDescent="0.3">
      <c r="A42" s="2">
        <v>45874</v>
      </c>
      <c r="B42" s="111">
        <f>IF(Tabla1[[#This Row],[Origin Date ]]&lt;&gt;"",1+B41,"")</f>
        <v>38</v>
      </c>
      <c r="C42" s="22"/>
      <c r="D42" s="22"/>
      <c r="E42" s="21" t="s">
        <v>480</v>
      </c>
      <c r="F42" s="21" t="s">
        <v>297</v>
      </c>
      <c r="G42" s="22" t="s">
        <v>224</v>
      </c>
      <c r="H42" s="23" t="str">
        <f t="shared" si="6"/>
        <v>ALTA</v>
      </c>
      <c r="I42" s="24" t="s">
        <v>21</v>
      </c>
      <c r="J42" s="24" t="s">
        <v>16</v>
      </c>
      <c r="K42" s="71" t="s">
        <v>116</v>
      </c>
      <c r="L42" s="24" t="s">
        <v>77</v>
      </c>
      <c r="M42" s="25" t="s">
        <v>86</v>
      </c>
      <c r="N42" s="24" t="s">
        <v>209</v>
      </c>
      <c r="O42" s="25" t="s">
        <v>208</v>
      </c>
      <c r="P42" s="112" t="s">
        <v>73</v>
      </c>
      <c r="Q42" s="25" t="s">
        <v>229</v>
      </c>
      <c r="R42" s="2">
        <f>Tabla1[[#This Row],[Origin Date ]]+3</f>
        <v>45877</v>
      </c>
      <c r="S42" s="2"/>
      <c r="T42" s="40" t="str">
        <f t="shared" si="5"/>
        <v>-</v>
      </c>
      <c r="U42" s="27" t="str">
        <f t="shared" ca="1" si="7"/>
        <v>Atrasada</v>
      </c>
      <c r="V42" s="28" t="str">
        <f t="shared" si="3"/>
        <v>Abierta</v>
      </c>
      <c r="W42" s="72">
        <v>0.3</v>
      </c>
      <c r="X42" s="29"/>
      <c r="Y42" s="28" t="s">
        <v>58</v>
      </c>
      <c r="Z42" s="35">
        <v>365</v>
      </c>
      <c r="AA42" s="36" t="s">
        <v>50</v>
      </c>
      <c r="AB42" s="31">
        <f>Tabla1[[#This Row],[Fecha de Entrega
End Date]]+$Z42</f>
        <v>365</v>
      </c>
      <c r="AC42" s="41"/>
      <c r="AD42" s="70" t="s">
        <v>243</v>
      </c>
      <c r="AE42" s="37" t="s">
        <v>1050</v>
      </c>
    </row>
    <row r="43" spans="1:32" ht="44.25" customHeight="1" x14ac:dyDescent="0.3">
      <c r="A43" s="2">
        <v>45728</v>
      </c>
      <c r="B43" s="141">
        <f>IF(Tabla1[[#This Row],[Origin Date ]]&lt;&gt;"",1+B42,"")</f>
        <v>39</v>
      </c>
      <c r="C43" s="149"/>
      <c r="D43" s="149"/>
      <c r="E43" s="39" t="s">
        <v>308</v>
      </c>
      <c r="F43" s="21" t="s">
        <v>309</v>
      </c>
      <c r="G43" s="22" t="s">
        <v>224</v>
      </c>
      <c r="H43" s="23" t="str">
        <f t="shared" si="6"/>
        <v>ATENDIDO</v>
      </c>
      <c r="I43" s="24" t="s">
        <v>21</v>
      </c>
      <c r="J43" s="24" t="s">
        <v>16</v>
      </c>
      <c r="K43" s="71" t="s">
        <v>124</v>
      </c>
      <c r="L43" s="24" t="s">
        <v>77</v>
      </c>
      <c r="M43" s="25" t="s">
        <v>86</v>
      </c>
      <c r="N43" s="24" t="s">
        <v>185</v>
      </c>
      <c r="O43" s="25" t="s">
        <v>208</v>
      </c>
      <c r="P43" s="112" t="s">
        <v>463</v>
      </c>
      <c r="Q43" s="25" t="s">
        <v>320</v>
      </c>
      <c r="R43" s="2">
        <f>Tabla1[[#This Row],[Origin Date ]]+3</f>
        <v>45731</v>
      </c>
      <c r="S43" s="2">
        <v>45729</v>
      </c>
      <c r="T43" s="40">
        <f t="shared" si="5"/>
        <v>-2</v>
      </c>
      <c r="U43" s="27" t="str">
        <f t="shared" si="7"/>
        <v>Realizada a Tiempo</v>
      </c>
      <c r="V43" s="28" t="str">
        <f t="shared" si="3"/>
        <v>Cerrada</v>
      </c>
      <c r="W43" s="72">
        <v>1</v>
      </c>
      <c r="X43" s="29"/>
      <c r="Y43" s="28" t="s">
        <v>58</v>
      </c>
      <c r="Z43" s="35">
        <v>365</v>
      </c>
      <c r="AA43" s="36" t="s">
        <v>50</v>
      </c>
      <c r="AB43" s="31">
        <f>Tabla1[[#This Row],[Fecha de Entrega
End Date]]+$Z43</f>
        <v>46094</v>
      </c>
      <c r="AC43" s="41"/>
      <c r="AD43" s="70" t="s">
        <v>386</v>
      </c>
      <c r="AE43" s="42" t="s">
        <v>312</v>
      </c>
    </row>
    <row r="44" spans="1:32" ht="27" customHeight="1" x14ac:dyDescent="0.3">
      <c r="A44" s="2">
        <v>45731</v>
      </c>
      <c r="B44" s="111">
        <f>IF(Tabla1[[#This Row],[Origin Date ]]&lt;&gt;"",1+B43,"")</f>
        <v>40</v>
      </c>
      <c r="C44" s="22"/>
      <c r="D44" s="22"/>
      <c r="E44" s="21" t="s">
        <v>314</v>
      </c>
      <c r="F44" s="21" t="s">
        <v>313</v>
      </c>
      <c r="G44" s="22" t="s">
        <v>224</v>
      </c>
      <c r="H44" s="23" t="str">
        <f t="shared" si="6"/>
        <v>ATENDIDO</v>
      </c>
      <c r="I44" s="24" t="s">
        <v>21</v>
      </c>
      <c r="J44" s="24" t="s">
        <v>16</v>
      </c>
      <c r="K44" s="71" t="s">
        <v>124</v>
      </c>
      <c r="L44" s="24" t="s">
        <v>77</v>
      </c>
      <c r="M44" s="25" t="s">
        <v>86</v>
      </c>
      <c r="N44" s="24" t="s">
        <v>185</v>
      </c>
      <c r="O44" s="25" t="s">
        <v>208</v>
      </c>
      <c r="P44" s="112" t="s">
        <v>463</v>
      </c>
      <c r="Q44" s="25" t="s">
        <v>229</v>
      </c>
      <c r="R44" s="2">
        <f>Tabla1[[#This Row],[Origin Date ]]+3</f>
        <v>45734</v>
      </c>
      <c r="S44" s="2">
        <v>45733</v>
      </c>
      <c r="T44" s="40">
        <f t="shared" si="5"/>
        <v>-1</v>
      </c>
      <c r="U44" s="27" t="str">
        <f t="shared" si="7"/>
        <v>Realizada a Tiempo</v>
      </c>
      <c r="V44" s="28" t="str">
        <f t="shared" si="3"/>
        <v>Cerrada</v>
      </c>
      <c r="W44" s="72">
        <v>1</v>
      </c>
      <c r="X44" s="29"/>
      <c r="Y44" s="28" t="s">
        <v>58</v>
      </c>
      <c r="Z44" s="35">
        <v>365</v>
      </c>
      <c r="AA44" s="36" t="s">
        <v>50</v>
      </c>
      <c r="AB44" s="31">
        <f>Tabla1[[#This Row],[Fecha de Entrega
End Date]]+$Z44</f>
        <v>46098</v>
      </c>
      <c r="AC44" s="41"/>
      <c r="AD44" s="70" t="s">
        <v>386</v>
      </c>
      <c r="AE44" s="42"/>
    </row>
    <row r="45" spans="1:32" ht="41.25" customHeight="1" x14ac:dyDescent="0.3">
      <c r="A45" s="2">
        <v>45742</v>
      </c>
      <c r="B45" s="111">
        <f>IF(Tabla1[[#This Row],[Origin Date ]]&lt;&gt;"",1+B44,"")</f>
        <v>41</v>
      </c>
      <c r="C45" s="22"/>
      <c r="D45" s="22"/>
      <c r="E45" s="21" t="s">
        <v>338</v>
      </c>
      <c r="F45" s="21" t="s">
        <v>316</v>
      </c>
      <c r="G45" s="22" t="s">
        <v>224</v>
      </c>
      <c r="H45" s="23" t="str">
        <f t="shared" si="6"/>
        <v>ATENDIDO</v>
      </c>
      <c r="I45" s="24" t="s">
        <v>21</v>
      </c>
      <c r="J45" s="24" t="s">
        <v>16</v>
      </c>
      <c r="K45" s="71" t="s">
        <v>124</v>
      </c>
      <c r="L45" s="24" t="s">
        <v>77</v>
      </c>
      <c r="M45" s="25" t="s">
        <v>86</v>
      </c>
      <c r="N45" s="24" t="s">
        <v>185</v>
      </c>
      <c r="O45" s="25" t="s">
        <v>208</v>
      </c>
      <c r="P45" s="112" t="s">
        <v>73</v>
      </c>
      <c r="Q45" s="25" t="s">
        <v>229</v>
      </c>
      <c r="R45" s="2">
        <f>Tabla1[[#This Row],[Origin Date ]]+3</f>
        <v>45745</v>
      </c>
      <c r="S45" s="2">
        <v>45748</v>
      </c>
      <c r="T45" s="40">
        <f t="shared" si="5"/>
        <v>3</v>
      </c>
      <c r="U45" s="27" t="str">
        <f t="shared" si="7"/>
        <v>Realizada a Tiempo</v>
      </c>
      <c r="V45" s="28" t="str">
        <f t="shared" si="3"/>
        <v>Cerrada</v>
      </c>
      <c r="W45" s="72">
        <v>0.8</v>
      </c>
      <c r="X45" s="29" t="s">
        <v>588</v>
      </c>
      <c r="Y45" s="28" t="s">
        <v>58</v>
      </c>
      <c r="Z45" s="35">
        <v>365</v>
      </c>
      <c r="AA45" s="36" t="s">
        <v>52</v>
      </c>
      <c r="AB45" s="31">
        <f>Tabla1[[#This Row],[Fecha de Entrega
End Date]]+$Z45</f>
        <v>46113</v>
      </c>
      <c r="AC45" s="92" t="s">
        <v>622</v>
      </c>
      <c r="AD45" s="70" t="s">
        <v>386</v>
      </c>
      <c r="AE45" s="37" t="s">
        <v>580</v>
      </c>
    </row>
    <row r="46" spans="1:32" ht="37.5" customHeight="1" x14ac:dyDescent="0.3">
      <c r="A46" s="2">
        <v>45733</v>
      </c>
      <c r="B46" s="111">
        <f>IF(Tabla1[[#This Row],[Origin Date ]]&lt;&gt;"",1+B45,"")</f>
        <v>42</v>
      </c>
      <c r="C46" s="22"/>
      <c r="D46" s="22"/>
      <c r="E46" s="21" t="s">
        <v>339</v>
      </c>
      <c r="F46" s="21" t="s">
        <v>317</v>
      </c>
      <c r="G46" s="22" t="s">
        <v>224</v>
      </c>
      <c r="H46" s="23" t="str">
        <f t="shared" si="6"/>
        <v>ATENDIDO</v>
      </c>
      <c r="I46" s="24" t="s">
        <v>21</v>
      </c>
      <c r="J46" s="24" t="s">
        <v>16</v>
      </c>
      <c r="K46" s="71" t="s">
        <v>116</v>
      </c>
      <c r="L46" s="24" t="s">
        <v>77</v>
      </c>
      <c r="M46" s="25" t="s">
        <v>86</v>
      </c>
      <c r="N46" s="24" t="s">
        <v>209</v>
      </c>
      <c r="O46" s="25" t="s">
        <v>208</v>
      </c>
      <c r="P46" s="112" t="s">
        <v>73</v>
      </c>
      <c r="Q46" s="25" t="s">
        <v>320</v>
      </c>
      <c r="R46" s="2">
        <f>Tabla1[[#This Row],[Origin Date ]]+3</f>
        <v>45736</v>
      </c>
      <c r="S46" s="2">
        <v>45743</v>
      </c>
      <c r="T46" s="40">
        <f t="shared" si="5"/>
        <v>7</v>
      </c>
      <c r="U46" s="27" t="str">
        <f t="shared" si="7"/>
        <v>Realizada a Tiempo</v>
      </c>
      <c r="V46" s="28" t="str">
        <f t="shared" si="3"/>
        <v>Cerrada</v>
      </c>
      <c r="W46" s="72">
        <v>1</v>
      </c>
      <c r="X46" s="29" t="s">
        <v>629</v>
      </c>
      <c r="Y46" s="28" t="s">
        <v>58</v>
      </c>
      <c r="Z46" s="35">
        <v>365</v>
      </c>
      <c r="AA46" s="36" t="s">
        <v>50</v>
      </c>
      <c r="AB46" s="31">
        <f>Tabla1[[#This Row],[Fecha de Entrega
End Date]]+$Z46</f>
        <v>46108</v>
      </c>
      <c r="AC46" s="93" t="s">
        <v>630</v>
      </c>
      <c r="AD46" s="70" t="s">
        <v>387</v>
      </c>
      <c r="AE46" s="37" t="s">
        <v>626</v>
      </c>
    </row>
    <row r="47" spans="1:32" ht="43.5" customHeight="1" x14ac:dyDescent="0.3">
      <c r="A47" s="2">
        <v>45733</v>
      </c>
      <c r="B47" s="111">
        <f>IF(Tabla1[[#This Row],[Origin Date ]]&lt;&gt;"",1+B46,"")</f>
        <v>43</v>
      </c>
      <c r="C47" s="22"/>
      <c r="D47" s="22"/>
      <c r="E47" s="21" t="s">
        <v>340</v>
      </c>
      <c r="F47" s="21" t="s">
        <v>323</v>
      </c>
      <c r="G47" s="22" t="s">
        <v>224</v>
      </c>
      <c r="H47" s="23" t="str">
        <f t="shared" si="6"/>
        <v>ATENDIDO</v>
      </c>
      <c r="I47" s="24" t="s">
        <v>21</v>
      </c>
      <c r="J47" s="24" t="s">
        <v>16</v>
      </c>
      <c r="K47" s="71" t="s">
        <v>125</v>
      </c>
      <c r="L47" s="24" t="s">
        <v>77</v>
      </c>
      <c r="M47" s="25" t="s">
        <v>86</v>
      </c>
      <c r="N47" s="24" t="s">
        <v>185</v>
      </c>
      <c r="O47" s="25" t="s">
        <v>208</v>
      </c>
      <c r="P47" s="112" t="s">
        <v>319</v>
      </c>
      <c r="Q47" s="25" t="s">
        <v>93</v>
      </c>
      <c r="R47" s="2">
        <f>Tabla1[[#This Row],[Origin Date ]]+3</f>
        <v>45736</v>
      </c>
      <c r="S47" s="2">
        <v>45734</v>
      </c>
      <c r="T47" s="40">
        <f t="shared" si="5"/>
        <v>-2</v>
      </c>
      <c r="U47" s="27" t="str">
        <f t="shared" si="7"/>
        <v>Realizada a Tiempo</v>
      </c>
      <c r="V47" s="28" t="str">
        <f t="shared" si="3"/>
        <v>Cerrada</v>
      </c>
      <c r="W47" s="72">
        <v>1</v>
      </c>
      <c r="X47" s="29"/>
      <c r="Y47" s="28" t="s">
        <v>58</v>
      </c>
      <c r="Z47" s="35">
        <v>365</v>
      </c>
      <c r="AA47" s="36" t="s">
        <v>50</v>
      </c>
      <c r="AB47" s="31">
        <f>Tabla1[[#This Row],[Fecha de Entrega
End Date]]+$Z47</f>
        <v>46099</v>
      </c>
      <c r="AC47" s="92" t="s">
        <v>622</v>
      </c>
      <c r="AD47" s="70" t="s">
        <v>386</v>
      </c>
      <c r="AE47" s="42" t="s">
        <v>324</v>
      </c>
    </row>
    <row r="48" spans="1:32" ht="33" customHeight="1" x14ac:dyDescent="0.3">
      <c r="A48" s="2">
        <v>45733</v>
      </c>
      <c r="B48" s="111">
        <f>IF(Tabla1[[#This Row],[Origin Date ]]&lt;&gt;"",1+B47,"")</f>
        <v>44</v>
      </c>
      <c r="C48" s="22"/>
      <c r="D48" s="22"/>
      <c r="E48" s="21" t="s">
        <v>318</v>
      </c>
      <c r="F48" s="21" t="s">
        <v>318</v>
      </c>
      <c r="G48" s="22" t="s">
        <v>224</v>
      </c>
      <c r="H48" s="23" t="str">
        <f t="shared" si="6"/>
        <v>ATENDIDO</v>
      </c>
      <c r="I48" s="24" t="s">
        <v>21</v>
      </c>
      <c r="J48" s="24" t="s">
        <v>16</v>
      </c>
      <c r="K48" s="71" t="s">
        <v>125</v>
      </c>
      <c r="L48" s="24" t="s">
        <v>77</v>
      </c>
      <c r="M48" s="25" t="s">
        <v>86</v>
      </c>
      <c r="N48" s="24" t="s">
        <v>185</v>
      </c>
      <c r="O48" s="25" t="s">
        <v>208</v>
      </c>
      <c r="P48" s="112" t="s">
        <v>319</v>
      </c>
      <c r="Q48" s="25" t="s">
        <v>320</v>
      </c>
      <c r="R48" s="2">
        <f>Tabla1[[#This Row],[Origin Date ]]+3</f>
        <v>45736</v>
      </c>
      <c r="S48" s="2">
        <v>45733</v>
      </c>
      <c r="T48" s="40">
        <f t="shared" si="5"/>
        <v>-3</v>
      </c>
      <c r="U48" s="27" t="str">
        <f t="shared" si="7"/>
        <v>Realizada a Tiempo</v>
      </c>
      <c r="V48" s="28" t="str">
        <f t="shared" si="3"/>
        <v>Cerrada</v>
      </c>
      <c r="W48" s="72">
        <v>1</v>
      </c>
      <c r="X48" s="29"/>
      <c r="Y48" s="28" t="s">
        <v>58</v>
      </c>
      <c r="Z48" s="35">
        <v>365</v>
      </c>
      <c r="AA48" s="36" t="s">
        <v>50</v>
      </c>
      <c r="AB48" s="31">
        <f>Tabla1[[#This Row],[Fecha de Entrega
End Date]]+$Z48</f>
        <v>46098</v>
      </c>
      <c r="AC48" s="41"/>
      <c r="AD48" s="70" t="s">
        <v>386</v>
      </c>
      <c r="AE48" s="42"/>
    </row>
    <row r="49" spans="1:31" ht="36.75" customHeight="1" x14ac:dyDescent="0.3">
      <c r="A49" s="2">
        <v>45730</v>
      </c>
      <c r="B49" s="111">
        <f>IF(Tabla1[[#This Row],[Origin Date ]]&lt;&gt;"",1+B48,"")</f>
        <v>45</v>
      </c>
      <c r="C49" s="22"/>
      <c r="D49" s="22"/>
      <c r="E49" s="21" t="s">
        <v>321</v>
      </c>
      <c r="F49" s="21" t="s">
        <v>321</v>
      </c>
      <c r="G49" s="22" t="s">
        <v>224</v>
      </c>
      <c r="H49" s="23" t="str">
        <f t="shared" si="6"/>
        <v>ATENDIDO</v>
      </c>
      <c r="I49" s="24" t="s">
        <v>21</v>
      </c>
      <c r="J49" s="24" t="s">
        <v>16</v>
      </c>
      <c r="K49" s="71" t="s">
        <v>125</v>
      </c>
      <c r="L49" s="24" t="s">
        <v>77</v>
      </c>
      <c r="M49" s="25" t="s">
        <v>86</v>
      </c>
      <c r="N49" s="24" t="s">
        <v>185</v>
      </c>
      <c r="O49" s="25" t="s">
        <v>208</v>
      </c>
      <c r="P49" s="112" t="s">
        <v>319</v>
      </c>
      <c r="Q49" s="25" t="s">
        <v>93</v>
      </c>
      <c r="R49" s="2">
        <f>Tabla1[[#This Row],[Origin Date ]]+3</f>
        <v>45733</v>
      </c>
      <c r="S49" s="2">
        <v>45734</v>
      </c>
      <c r="T49" s="40">
        <f t="shared" si="5"/>
        <v>1</v>
      </c>
      <c r="U49" s="27" t="str">
        <f t="shared" si="7"/>
        <v>Realizada a Tiempo</v>
      </c>
      <c r="V49" s="28" t="str">
        <f t="shared" si="3"/>
        <v>Cerrada</v>
      </c>
      <c r="W49" s="72">
        <v>1</v>
      </c>
      <c r="X49" s="29"/>
      <c r="Y49" s="28" t="s">
        <v>58</v>
      </c>
      <c r="Z49" s="35">
        <v>365</v>
      </c>
      <c r="AA49" s="36" t="s">
        <v>50</v>
      </c>
      <c r="AB49" s="31">
        <f>Tabla1[[#This Row],[Fecha de Entrega
End Date]]+$Z49</f>
        <v>46099</v>
      </c>
      <c r="AC49" s="41"/>
      <c r="AD49" s="70" t="s">
        <v>386</v>
      </c>
      <c r="AE49" s="42"/>
    </row>
    <row r="50" spans="1:31" ht="28.5" customHeight="1" x14ac:dyDescent="0.3">
      <c r="A50" s="2">
        <v>45734</v>
      </c>
      <c r="B50" s="111">
        <f>IF(Tabla1[[#This Row],[Origin Date ]]&lt;&gt;"",1+B49,"")</f>
        <v>46</v>
      </c>
      <c r="C50" s="22"/>
      <c r="D50" s="22"/>
      <c r="E50" s="21" t="s">
        <v>328</v>
      </c>
      <c r="F50" s="21" t="s">
        <v>328</v>
      </c>
      <c r="G50" s="22" t="s">
        <v>224</v>
      </c>
      <c r="H50" s="23" t="str">
        <f t="shared" si="6"/>
        <v>ATENDIDO</v>
      </c>
      <c r="I50" s="24" t="s">
        <v>21</v>
      </c>
      <c r="J50" s="24" t="s">
        <v>16</v>
      </c>
      <c r="K50" s="71" t="s">
        <v>116</v>
      </c>
      <c r="L50" s="24" t="s">
        <v>77</v>
      </c>
      <c r="M50" s="25" t="s">
        <v>86</v>
      </c>
      <c r="N50" s="24" t="s">
        <v>209</v>
      </c>
      <c r="O50" s="25" t="s">
        <v>208</v>
      </c>
      <c r="P50" s="112" t="s">
        <v>73</v>
      </c>
      <c r="Q50" s="25" t="s">
        <v>93</v>
      </c>
      <c r="R50" s="2">
        <f>Tabla1[[#This Row],[Origin Date ]]+3</f>
        <v>45737</v>
      </c>
      <c r="S50" s="2">
        <v>45734</v>
      </c>
      <c r="T50" s="40">
        <f t="shared" ref="T50:T62" si="8">IF((R50=""),"",IF((V50="Cerrada"),(S50-R50),IF((($AA$2-R50)&lt;=0),"-",($AA$2-R50))))</f>
        <v>-3</v>
      </c>
      <c r="U50" s="27" t="str">
        <f t="shared" si="7"/>
        <v>Realizada a Tiempo</v>
      </c>
      <c r="V50" s="28" t="str">
        <f t="shared" si="3"/>
        <v>Cerrada</v>
      </c>
      <c r="W50" s="72">
        <v>0.8</v>
      </c>
      <c r="X50" s="29"/>
      <c r="Y50" s="28" t="s">
        <v>58</v>
      </c>
      <c r="Z50" s="35">
        <v>365</v>
      </c>
      <c r="AA50" s="36" t="s">
        <v>50</v>
      </c>
      <c r="AB50" s="31">
        <f>Tabla1[[#This Row],[Fecha de Entrega
End Date]]+$Z50</f>
        <v>46099</v>
      </c>
      <c r="AC50" s="41"/>
      <c r="AD50" s="70" t="s">
        <v>386</v>
      </c>
      <c r="AE50" s="42"/>
    </row>
    <row r="51" spans="1:31" ht="30" customHeight="1" x14ac:dyDescent="0.3">
      <c r="A51" s="2">
        <v>45734</v>
      </c>
      <c r="B51" s="111">
        <f>IF(Tabla1[[#This Row],[Origin Date ]]&lt;&gt;"",1+B50,"")</f>
        <v>47</v>
      </c>
      <c r="C51" s="22"/>
      <c r="D51" s="22"/>
      <c r="E51" s="21" t="s">
        <v>327</v>
      </c>
      <c r="F51" s="21" t="s">
        <v>327</v>
      </c>
      <c r="G51" s="22" t="s">
        <v>224</v>
      </c>
      <c r="H51" s="23" t="str">
        <f t="shared" si="6"/>
        <v>ATENDIDO</v>
      </c>
      <c r="I51" s="24" t="s">
        <v>21</v>
      </c>
      <c r="J51" s="24" t="s">
        <v>16</v>
      </c>
      <c r="K51" s="71" t="s">
        <v>116</v>
      </c>
      <c r="L51" s="24" t="s">
        <v>77</v>
      </c>
      <c r="M51" s="25" t="s">
        <v>86</v>
      </c>
      <c r="N51" s="24" t="s">
        <v>209</v>
      </c>
      <c r="O51" s="25" t="s">
        <v>208</v>
      </c>
      <c r="P51" s="112" t="s">
        <v>73</v>
      </c>
      <c r="Q51" s="25" t="s">
        <v>93</v>
      </c>
      <c r="R51" s="2">
        <f>Tabla1[[#This Row],[Origin Date ]]+3</f>
        <v>45737</v>
      </c>
      <c r="S51" s="2">
        <v>45734</v>
      </c>
      <c r="T51" s="40">
        <f t="shared" si="8"/>
        <v>-3</v>
      </c>
      <c r="U51" s="27" t="str">
        <f t="shared" si="7"/>
        <v>Realizada a Tiempo</v>
      </c>
      <c r="V51" s="28" t="str">
        <f t="shared" si="3"/>
        <v>Cerrada</v>
      </c>
      <c r="W51" s="72">
        <v>0.8</v>
      </c>
      <c r="X51" s="29"/>
      <c r="Y51" s="28" t="s">
        <v>58</v>
      </c>
      <c r="Z51" s="35">
        <v>365</v>
      </c>
      <c r="AA51" s="36" t="s">
        <v>50</v>
      </c>
      <c r="AB51" s="31">
        <f>Tabla1[[#This Row],[Fecha de Entrega
End Date]]+$Z51</f>
        <v>46099</v>
      </c>
      <c r="AC51" s="41"/>
      <c r="AD51" s="70" t="s">
        <v>386</v>
      </c>
      <c r="AE51" s="42"/>
    </row>
    <row r="52" spans="1:31" ht="37.5" customHeight="1" x14ac:dyDescent="0.3">
      <c r="A52" s="2">
        <v>45734</v>
      </c>
      <c r="B52" s="111">
        <f>IF(Tabla1[[#This Row],[Origin Date ]]&lt;&gt;"",1+B51,"")</f>
        <v>48</v>
      </c>
      <c r="C52" s="22"/>
      <c r="D52" s="22"/>
      <c r="E52" s="21" t="s">
        <v>329</v>
      </c>
      <c r="F52" s="21" t="s">
        <v>329</v>
      </c>
      <c r="G52" s="22" t="s">
        <v>224</v>
      </c>
      <c r="H52" s="23" t="str">
        <f t="shared" si="6"/>
        <v>ATENDIDO</v>
      </c>
      <c r="I52" s="24" t="s">
        <v>21</v>
      </c>
      <c r="J52" s="24" t="s">
        <v>16</v>
      </c>
      <c r="K52" s="71" t="s">
        <v>116</v>
      </c>
      <c r="L52" s="24" t="s">
        <v>77</v>
      </c>
      <c r="M52" s="25" t="s">
        <v>86</v>
      </c>
      <c r="N52" s="24" t="s">
        <v>209</v>
      </c>
      <c r="O52" s="25" t="s">
        <v>208</v>
      </c>
      <c r="P52" s="112" t="s">
        <v>73</v>
      </c>
      <c r="Q52" s="25" t="s">
        <v>93</v>
      </c>
      <c r="R52" s="2">
        <f>Tabla1[[#This Row],[Origin Date ]]+3</f>
        <v>45737</v>
      </c>
      <c r="S52" s="2">
        <v>45734</v>
      </c>
      <c r="T52" s="40">
        <f t="shared" si="8"/>
        <v>-3</v>
      </c>
      <c r="U52" s="27" t="str">
        <f t="shared" si="7"/>
        <v>Realizada a Tiempo</v>
      </c>
      <c r="V52" s="28" t="str">
        <f t="shared" si="3"/>
        <v>Cerrada</v>
      </c>
      <c r="W52" s="72">
        <v>0.8</v>
      </c>
      <c r="X52" s="29"/>
      <c r="Y52" s="28" t="s">
        <v>58</v>
      </c>
      <c r="Z52" s="35">
        <v>365</v>
      </c>
      <c r="AA52" s="36" t="s">
        <v>50</v>
      </c>
      <c r="AB52" s="31">
        <f>Tabla1[[#This Row],[Fecha de Entrega
End Date]]+$Z52</f>
        <v>46099</v>
      </c>
      <c r="AC52" s="41"/>
      <c r="AD52" s="70" t="s">
        <v>386</v>
      </c>
      <c r="AE52" s="42"/>
    </row>
    <row r="53" spans="1:31" ht="39.75" customHeight="1" x14ac:dyDescent="0.3">
      <c r="A53" s="2">
        <v>45734</v>
      </c>
      <c r="B53" s="111">
        <f>IF(Tabla1[[#This Row],[Origin Date ]]&lt;&gt;"",1+B52,"")</f>
        <v>49</v>
      </c>
      <c r="C53" s="22"/>
      <c r="D53" s="22"/>
      <c r="E53" s="21" t="s">
        <v>330</v>
      </c>
      <c r="F53" s="21" t="s">
        <v>330</v>
      </c>
      <c r="G53" s="22" t="s">
        <v>224</v>
      </c>
      <c r="H53" s="23" t="str">
        <f t="shared" si="6"/>
        <v>ATENDIDO</v>
      </c>
      <c r="I53" s="24" t="s">
        <v>21</v>
      </c>
      <c r="J53" s="24" t="s">
        <v>16</v>
      </c>
      <c r="K53" s="71" t="s">
        <v>116</v>
      </c>
      <c r="L53" s="24" t="s">
        <v>77</v>
      </c>
      <c r="M53" s="25" t="s">
        <v>86</v>
      </c>
      <c r="N53" s="24" t="s">
        <v>209</v>
      </c>
      <c r="O53" s="25" t="s">
        <v>208</v>
      </c>
      <c r="P53" s="112" t="s">
        <v>73</v>
      </c>
      <c r="Q53" s="25" t="s">
        <v>93</v>
      </c>
      <c r="R53" s="2">
        <f>Tabla1[[#This Row],[Origin Date ]]+3</f>
        <v>45737</v>
      </c>
      <c r="S53" s="2">
        <v>45734</v>
      </c>
      <c r="T53" s="40">
        <f t="shared" si="8"/>
        <v>-3</v>
      </c>
      <c r="U53" s="27" t="str">
        <f t="shared" si="7"/>
        <v>Realizada a Tiempo</v>
      </c>
      <c r="V53" s="28" t="str">
        <f t="shared" ref="V53:V116" si="9">IF((R53=""),"",IF((S53=""),"Abierta","Cerrada"))</f>
        <v>Cerrada</v>
      </c>
      <c r="W53" s="72">
        <v>0.8</v>
      </c>
      <c r="X53" s="29"/>
      <c r="Y53" s="28" t="s">
        <v>58</v>
      </c>
      <c r="Z53" s="35">
        <v>365</v>
      </c>
      <c r="AA53" s="36" t="s">
        <v>50</v>
      </c>
      <c r="AB53" s="31">
        <f>Tabla1[[#This Row],[Fecha de Entrega
End Date]]+$Z53</f>
        <v>46099</v>
      </c>
      <c r="AC53" s="41"/>
      <c r="AD53" s="70" t="s">
        <v>386</v>
      </c>
      <c r="AE53" s="42"/>
    </row>
    <row r="54" spans="1:31" ht="44.25" customHeight="1" x14ac:dyDescent="0.3">
      <c r="A54" s="2">
        <v>45734</v>
      </c>
      <c r="B54" s="111">
        <f>IF(Tabla1[[#This Row],[Origin Date ]]&lt;&gt;"",1+B53,"")</f>
        <v>50</v>
      </c>
      <c r="C54" s="22"/>
      <c r="D54" s="22"/>
      <c r="E54" s="21" t="s">
        <v>331</v>
      </c>
      <c r="F54" s="21" t="s">
        <v>331</v>
      </c>
      <c r="G54" s="22" t="s">
        <v>224</v>
      </c>
      <c r="H54" s="23" t="str">
        <f t="shared" si="6"/>
        <v>ATENDIDO</v>
      </c>
      <c r="I54" s="24" t="s">
        <v>21</v>
      </c>
      <c r="J54" s="24" t="s">
        <v>16</v>
      </c>
      <c r="K54" s="71" t="s">
        <v>116</v>
      </c>
      <c r="L54" s="24" t="s">
        <v>77</v>
      </c>
      <c r="M54" s="25" t="s">
        <v>86</v>
      </c>
      <c r="N54" s="24" t="s">
        <v>209</v>
      </c>
      <c r="O54" s="25" t="s">
        <v>208</v>
      </c>
      <c r="P54" s="112" t="s">
        <v>73</v>
      </c>
      <c r="Q54" s="25" t="s">
        <v>93</v>
      </c>
      <c r="R54" s="2">
        <f>Tabla1[[#This Row],[Origin Date ]]+3</f>
        <v>45737</v>
      </c>
      <c r="S54" s="2">
        <v>45734</v>
      </c>
      <c r="T54" s="40">
        <f t="shared" si="8"/>
        <v>-3</v>
      </c>
      <c r="U54" s="27" t="str">
        <f t="shared" si="7"/>
        <v>Realizada a Tiempo</v>
      </c>
      <c r="V54" s="28" t="str">
        <f t="shared" si="9"/>
        <v>Cerrada</v>
      </c>
      <c r="W54" s="72">
        <v>0.8</v>
      </c>
      <c r="X54" s="29"/>
      <c r="Y54" s="28" t="s">
        <v>58</v>
      </c>
      <c r="Z54" s="35">
        <v>365</v>
      </c>
      <c r="AA54" s="36" t="s">
        <v>50</v>
      </c>
      <c r="AB54" s="31">
        <f>Tabla1[[#This Row],[Fecha de Entrega
End Date]]+$Z54</f>
        <v>46099</v>
      </c>
      <c r="AC54" s="41"/>
      <c r="AD54" s="70" t="s">
        <v>386</v>
      </c>
      <c r="AE54" s="42"/>
    </row>
    <row r="55" spans="1:31" ht="37.5" customHeight="1" x14ac:dyDescent="0.3">
      <c r="A55" s="2">
        <v>45734</v>
      </c>
      <c r="B55" s="111">
        <f>IF(Tabla1[[#This Row],[Origin Date ]]&lt;&gt;"",1+B54,"")</f>
        <v>51</v>
      </c>
      <c r="C55" s="22"/>
      <c r="D55" s="22"/>
      <c r="E55" s="21" t="s">
        <v>332</v>
      </c>
      <c r="F55" s="21" t="s">
        <v>332</v>
      </c>
      <c r="G55" s="22" t="s">
        <v>224</v>
      </c>
      <c r="H55" s="23" t="str">
        <f t="shared" si="6"/>
        <v>ATENDIDO</v>
      </c>
      <c r="I55" s="24" t="s">
        <v>21</v>
      </c>
      <c r="J55" s="24" t="s">
        <v>16</v>
      </c>
      <c r="K55" s="71" t="s">
        <v>116</v>
      </c>
      <c r="L55" s="24" t="s">
        <v>77</v>
      </c>
      <c r="M55" s="25" t="s">
        <v>86</v>
      </c>
      <c r="N55" s="24" t="s">
        <v>209</v>
      </c>
      <c r="O55" s="25" t="s">
        <v>208</v>
      </c>
      <c r="P55" s="112" t="s">
        <v>73</v>
      </c>
      <c r="Q55" s="25" t="s">
        <v>93</v>
      </c>
      <c r="R55" s="2">
        <f>Tabla1[[#This Row],[Origin Date ]]+3</f>
        <v>45737</v>
      </c>
      <c r="S55" s="2">
        <v>45734</v>
      </c>
      <c r="T55" s="20">
        <f t="shared" si="8"/>
        <v>-3</v>
      </c>
      <c r="U55" s="27" t="str">
        <f t="shared" si="7"/>
        <v>Realizada a Tiempo</v>
      </c>
      <c r="V55" s="28" t="str">
        <f t="shared" si="9"/>
        <v>Cerrada</v>
      </c>
      <c r="W55" s="72">
        <v>0.8</v>
      </c>
      <c r="X55" s="29"/>
      <c r="Y55" s="28" t="s">
        <v>58</v>
      </c>
      <c r="Z55" s="35">
        <v>365</v>
      </c>
      <c r="AA55" s="36" t="s">
        <v>50</v>
      </c>
      <c r="AB55" s="31">
        <f>Tabla1[[#This Row],[Fecha de Entrega
End Date]]+$Z55</f>
        <v>46099</v>
      </c>
      <c r="AC55" s="44"/>
      <c r="AD55" s="70" t="s">
        <v>386</v>
      </c>
      <c r="AE55" s="42"/>
    </row>
    <row r="56" spans="1:31" ht="42.75" customHeight="1" x14ac:dyDescent="0.3">
      <c r="A56" s="2">
        <v>45734</v>
      </c>
      <c r="B56" s="141">
        <f>IF(Tabla1[[#This Row],[Origin Date ]]&lt;&gt;"",1+B55,"")</f>
        <v>52</v>
      </c>
      <c r="C56" s="149"/>
      <c r="D56" s="149"/>
      <c r="E56" s="39" t="s">
        <v>322</v>
      </c>
      <c r="F56" s="39" t="s">
        <v>322</v>
      </c>
      <c r="G56" s="22" t="s">
        <v>224</v>
      </c>
      <c r="H56" s="23" t="str">
        <f t="shared" si="6"/>
        <v>ATENDIDO</v>
      </c>
      <c r="I56" s="24" t="s">
        <v>21</v>
      </c>
      <c r="J56" s="24" t="s">
        <v>16</v>
      </c>
      <c r="K56" s="71" t="s">
        <v>116</v>
      </c>
      <c r="L56" s="24" t="s">
        <v>77</v>
      </c>
      <c r="M56" s="25" t="s">
        <v>86</v>
      </c>
      <c r="N56" s="24" t="s">
        <v>209</v>
      </c>
      <c r="O56" s="25" t="s">
        <v>208</v>
      </c>
      <c r="P56" s="112" t="s">
        <v>73</v>
      </c>
      <c r="Q56" s="25" t="s">
        <v>93</v>
      </c>
      <c r="R56" s="2">
        <f>Tabla1[[#This Row],[Origin Date ]]+3</f>
        <v>45737</v>
      </c>
      <c r="S56" s="2">
        <v>45734</v>
      </c>
      <c r="T56" s="20">
        <f t="shared" si="8"/>
        <v>-3</v>
      </c>
      <c r="U56" s="27" t="str">
        <f t="shared" si="7"/>
        <v>Realizada a Tiempo</v>
      </c>
      <c r="V56" s="28" t="str">
        <f t="shared" si="9"/>
        <v>Cerrada</v>
      </c>
      <c r="W56" s="72">
        <v>0.8</v>
      </c>
      <c r="X56" s="29"/>
      <c r="Y56" s="28" t="s">
        <v>58</v>
      </c>
      <c r="Z56" s="35">
        <v>365</v>
      </c>
      <c r="AA56" s="36" t="s">
        <v>50</v>
      </c>
      <c r="AB56" s="31">
        <f>Tabla1[[#This Row],[Fecha de Entrega
End Date]]+$Z56</f>
        <v>46099</v>
      </c>
      <c r="AC56" s="44"/>
      <c r="AD56" s="70" t="s">
        <v>386</v>
      </c>
      <c r="AE56" s="42"/>
    </row>
    <row r="57" spans="1:31" ht="24" customHeight="1" x14ac:dyDescent="0.3">
      <c r="A57" s="2">
        <v>45733</v>
      </c>
      <c r="B57" s="141">
        <f>IF(Tabla1[[#This Row],[Origin Date ]]&lt;&gt;"",1+B56,"")</f>
        <v>53</v>
      </c>
      <c r="C57" s="149"/>
      <c r="D57" s="149"/>
      <c r="E57" s="39" t="s">
        <v>326</v>
      </c>
      <c r="F57" s="39" t="s">
        <v>326</v>
      </c>
      <c r="G57" s="22" t="s">
        <v>224</v>
      </c>
      <c r="H57" s="23" t="str">
        <f t="shared" si="6"/>
        <v>ATENDIDO</v>
      </c>
      <c r="I57" s="24" t="s">
        <v>21</v>
      </c>
      <c r="J57" s="24" t="s">
        <v>16</v>
      </c>
      <c r="K57" s="71" t="s">
        <v>124</v>
      </c>
      <c r="L57" s="24" t="s">
        <v>77</v>
      </c>
      <c r="M57" s="25" t="s">
        <v>86</v>
      </c>
      <c r="N57" s="24" t="s">
        <v>185</v>
      </c>
      <c r="O57" s="25" t="s">
        <v>208</v>
      </c>
      <c r="P57" s="112" t="s">
        <v>463</v>
      </c>
      <c r="Q57" s="25" t="s">
        <v>229</v>
      </c>
      <c r="R57" s="2">
        <f>Tabla1[[#This Row],[Origin Date ]]+3</f>
        <v>45736</v>
      </c>
      <c r="S57" s="2">
        <v>45735</v>
      </c>
      <c r="T57" s="20">
        <f t="shared" si="8"/>
        <v>-1</v>
      </c>
      <c r="U57" s="27" t="str">
        <f t="shared" si="7"/>
        <v>Realizada a Tiempo</v>
      </c>
      <c r="V57" s="28" t="str">
        <f t="shared" si="9"/>
        <v>Cerrada</v>
      </c>
      <c r="W57" s="72">
        <v>1</v>
      </c>
      <c r="X57" s="29"/>
      <c r="Y57" s="28" t="s">
        <v>58</v>
      </c>
      <c r="Z57" s="35">
        <v>365</v>
      </c>
      <c r="AA57" s="36" t="s">
        <v>50</v>
      </c>
      <c r="AB57" s="31">
        <f>Tabla1[[#This Row],[Fecha de Entrega
End Date]]+$Z57</f>
        <v>46100</v>
      </c>
      <c r="AC57" s="44"/>
      <c r="AD57" s="70" t="s">
        <v>386</v>
      </c>
      <c r="AE57" s="37" t="s">
        <v>351</v>
      </c>
    </row>
    <row r="58" spans="1:31" ht="34.5" customHeight="1" x14ac:dyDescent="0.3">
      <c r="A58" s="2">
        <v>45734</v>
      </c>
      <c r="B58" s="111">
        <f>IF(Tabla1[[#This Row],[Origin Date ]]&lt;&gt;"",1+B57,"")</f>
        <v>54</v>
      </c>
      <c r="C58" s="22"/>
      <c r="D58" s="22"/>
      <c r="E58" s="21" t="s">
        <v>481</v>
      </c>
      <c r="F58" s="21" t="s">
        <v>481</v>
      </c>
      <c r="G58" s="22" t="s">
        <v>224</v>
      </c>
      <c r="H58" s="23" t="str">
        <f t="shared" si="6"/>
        <v>ATENDIDO</v>
      </c>
      <c r="I58" s="24" t="s">
        <v>21</v>
      </c>
      <c r="J58" s="24" t="s">
        <v>16</v>
      </c>
      <c r="K58" s="71" t="s">
        <v>116</v>
      </c>
      <c r="L58" s="24" t="s">
        <v>77</v>
      </c>
      <c r="M58" s="25" t="s">
        <v>86</v>
      </c>
      <c r="N58" s="24" t="s">
        <v>209</v>
      </c>
      <c r="O58" s="25" t="s">
        <v>208</v>
      </c>
      <c r="P58" s="112" t="s">
        <v>73</v>
      </c>
      <c r="Q58" s="25" t="s">
        <v>320</v>
      </c>
      <c r="R58" s="2">
        <f>Tabla1[[#This Row],[Origin Date ]]+3</f>
        <v>45737</v>
      </c>
      <c r="S58" s="2">
        <v>45735</v>
      </c>
      <c r="T58" s="20">
        <f t="shared" si="8"/>
        <v>-2</v>
      </c>
      <c r="U58" s="27" t="str">
        <f t="shared" si="7"/>
        <v>Realizada a Tiempo</v>
      </c>
      <c r="V58" s="28" t="str">
        <f t="shared" si="9"/>
        <v>Cerrada</v>
      </c>
      <c r="W58" s="72">
        <v>1</v>
      </c>
      <c r="X58" s="29" t="s">
        <v>343</v>
      </c>
      <c r="Y58" s="28" t="s">
        <v>58</v>
      </c>
      <c r="Z58" s="35">
        <v>365</v>
      </c>
      <c r="AA58" s="36" t="s">
        <v>50</v>
      </c>
      <c r="AB58" s="31">
        <f>Tabla1[[#This Row],[Fecha de Entrega
End Date]]+$Z58</f>
        <v>46100</v>
      </c>
      <c r="AC58" s="44"/>
      <c r="AD58" s="70" t="s">
        <v>386</v>
      </c>
      <c r="AE58" s="37" t="s">
        <v>342</v>
      </c>
    </row>
    <row r="59" spans="1:31" ht="31.5" customHeight="1" x14ac:dyDescent="0.3">
      <c r="A59" s="2">
        <v>45734</v>
      </c>
      <c r="B59" s="111">
        <f>IF(Tabla1[[#This Row],[Origin Date ]]&lt;&gt;"",1+B58,"")</f>
        <v>55</v>
      </c>
      <c r="C59" s="22"/>
      <c r="D59" s="22"/>
      <c r="E59" s="21" t="s">
        <v>482</v>
      </c>
      <c r="F59" s="21" t="s">
        <v>482</v>
      </c>
      <c r="G59" s="22" t="s">
        <v>224</v>
      </c>
      <c r="H59" s="23" t="str">
        <f t="shared" si="6"/>
        <v>ATENDIDO</v>
      </c>
      <c r="I59" s="24" t="s">
        <v>21</v>
      </c>
      <c r="J59" s="24" t="s">
        <v>16</v>
      </c>
      <c r="K59" s="71" t="s">
        <v>116</v>
      </c>
      <c r="L59" s="24" t="s">
        <v>77</v>
      </c>
      <c r="M59" s="25" t="s">
        <v>86</v>
      </c>
      <c r="N59" s="24" t="s">
        <v>209</v>
      </c>
      <c r="O59" s="25" t="s">
        <v>208</v>
      </c>
      <c r="P59" s="112" t="s">
        <v>73</v>
      </c>
      <c r="Q59" s="25" t="s">
        <v>229</v>
      </c>
      <c r="R59" s="2">
        <f>Tabla1[[#This Row],[Origin Date ]]+3</f>
        <v>45737</v>
      </c>
      <c r="S59" s="2">
        <v>45736</v>
      </c>
      <c r="T59" s="20">
        <f t="shared" si="8"/>
        <v>-1</v>
      </c>
      <c r="U59" s="27" t="str">
        <f t="shared" si="7"/>
        <v>Realizada a Tiempo</v>
      </c>
      <c r="V59" s="28" t="str">
        <f t="shared" si="9"/>
        <v>Cerrada</v>
      </c>
      <c r="W59" s="72">
        <v>1</v>
      </c>
      <c r="X59" s="29"/>
      <c r="Y59" s="28" t="s">
        <v>58</v>
      </c>
      <c r="Z59" s="35">
        <v>365</v>
      </c>
      <c r="AA59" s="36" t="s">
        <v>50</v>
      </c>
      <c r="AB59" s="31">
        <f>Tabla1[[#This Row],[Fecha de Entrega
End Date]]+$Z59</f>
        <v>46101</v>
      </c>
      <c r="AC59" s="44"/>
      <c r="AD59" s="70" t="s">
        <v>386</v>
      </c>
      <c r="AE59" s="42"/>
    </row>
    <row r="60" spans="1:31" ht="34.5" customHeight="1" x14ac:dyDescent="0.3">
      <c r="A60" s="2">
        <v>45734</v>
      </c>
      <c r="B60" s="111">
        <f>IF(Tabla1[[#This Row],[Origin Date ]]&lt;&gt;"",1+B59,"")</f>
        <v>56</v>
      </c>
      <c r="C60" s="22"/>
      <c r="D60" s="22"/>
      <c r="E60" s="21" t="s">
        <v>394</v>
      </c>
      <c r="F60" s="21" t="s">
        <v>393</v>
      </c>
      <c r="G60" s="22" t="s">
        <v>224</v>
      </c>
      <c r="H60" s="23" t="str">
        <f t="shared" si="6"/>
        <v>ATENDIDO</v>
      </c>
      <c r="I60" s="24" t="s">
        <v>21</v>
      </c>
      <c r="J60" s="24" t="s">
        <v>16</v>
      </c>
      <c r="K60" s="71" t="s">
        <v>116</v>
      </c>
      <c r="L60" s="24" t="s">
        <v>77</v>
      </c>
      <c r="M60" s="25" t="s">
        <v>86</v>
      </c>
      <c r="N60" s="24" t="s">
        <v>209</v>
      </c>
      <c r="O60" s="25" t="s">
        <v>208</v>
      </c>
      <c r="P60" s="112" t="s">
        <v>73</v>
      </c>
      <c r="Q60" s="25" t="s">
        <v>93</v>
      </c>
      <c r="R60" s="2">
        <f>Tabla1[[#This Row],[Origin Date ]]+3</f>
        <v>45737</v>
      </c>
      <c r="S60" s="2">
        <v>45743</v>
      </c>
      <c r="T60" s="20">
        <f t="shared" si="8"/>
        <v>6</v>
      </c>
      <c r="U60" s="27" t="str">
        <f t="shared" si="7"/>
        <v>Realizada a Tiempo</v>
      </c>
      <c r="V60" s="28" t="str">
        <f t="shared" si="9"/>
        <v>Cerrada</v>
      </c>
      <c r="W60" s="72">
        <v>1</v>
      </c>
      <c r="X60" s="29"/>
      <c r="Y60" s="28" t="s">
        <v>58</v>
      </c>
      <c r="Z60" s="35">
        <v>365</v>
      </c>
      <c r="AA60" s="36" t="s">
        <v>50</v>
      </c>
      <c r="AB60" s="31">
        <f>Tabla1[[#This Row],[Fecha de Entrega
End Date]]+$Z60</f>
        <v>46108</v>
      </c>
      <c r="AC60" s="44"/>
      <c r="AD60" s="70" t="s">
        <v>387</v>
      </c>
      <c r="AE60" s="37"/>
    </row>
    <row r="61" spans="1:31" ht="41.25" customHeight="1" x14ac:dyDescent="0.3">
      <c r="A61" s="2">
        <v>45734</v>
      </c>
      <c r="B61" s="111">
        <f>IF(Tabla1[[#This Row],[Origin Date ]]&lt;&gt;"",1+B60,"")</f>
        <v>57</v>
      </c>
      <c r="C61" s="22"/>
      <c r="D61" s="22"/>
      <c r="E61" s="21" t="s">
        <v>333</v>
      </c>
      <c r="F61" s="21" t="s">
        <v>333</v>
      </c>
      <c r="G61" s="22" t="s">
        <v>224</v>
      </c>
      <c r="H61" s="23" t="str">
        <f t="shared" si="6"/>
        <v>ATENDIDO</v>
      </c>
      <c r="I61" s="24" t="s">
        <v>21</v>
      </c>
      <c r="J61" s="24" t="s">
        <v>16</v>
      </c>
      <c r="K61" s="71" t="s">
        <v>125</v>
      </c>
      <c r="L61" s="24" t="s">
        <v>77</v>
      </c>
      <c r="M61" s="25" t="s">
        <v>86</v>
      </c>
      <c r="N61" s="24" t="s">
        <v>185</v>
      </c>
      <c r="O61" s="25" t="s">
        <v>208</v>
      </c>
      <c r="P61" s="112" t="s">
        <v>319</v>
      </c>
      <c r="Q61" s="25" t="s">
        <v>320</v>
      </c>
      <c r="R61" s="2">
        <f>Tabla1[[#This Row],[Origin Date ]]+3</f>
        <v>45737</v>
      </c>
      <c r="S61" s="2">
        <v>45734</v>
      </c>
      <c r="T61" s="20">
        <f t="shared" si="8"/>
        <v>-3</v>
      </c>
      <c r="U61" s="27" t="str">
        <f t="shared" si="7"/>
        <v>Realizada a Tiempo</v>
      </c>
      <c r="V61" s="28" t="str">
        <f t="shared" si="9"/>
        <v>Cerrada</v>
      </c>
      <c r="W61" s="72">
        <v>1</v>
      </c>
      <c r="X61" s="29"/>
      <c r="Y61" s="28" t="s">
        <v>58</v>
      </c>
      <c r="Z61" s="35">
        <v>365</v>
      </c>
      <c r="AA61" s="36" t="s">
        <v>50</v>
      </c>
      <c r="AB61" s="31">
        <f>Tabla1[[#This Row],[Fecha de Entrega
End Date]]+$Z61</f>
        <v>46099</v>
      </c>
      <c r="AC61" s="44"/>
      <c r="AD61" s="70" t="s">
        <v>386</v>
      </c>
      <c r="AE61" s="42"/>
    </row>
    <row r="62" spans="1:31" ht="41.25" customHeight="1" x14ac:dyDescent="0.3">
      <c r="A62" s="2">
        <v>45734</v>
      </c>
      <c r="B62" s="111">
        <f>IF(Tabla1[[#This Row],[Origin Date ]]&lt;&gt;"",1+B61,"")</f>
        <v>58</v>
      </c>
      <c r="C62" s="22"/>
      <c r="D62" s="22"/>
      <c r="E62" s="21" t="s">
        <v>334</v>
      </c>
      <c r="F62" s="21" t="s">
        <v>334</v>
      </c>
      <c r="G62" s="22" t="s">
        <v>224</v>
      </c>
      <c r="H62" s="23" t="str">
        <f t="shared" si="6"/>
        <v>ATENDIDO</v>
      </c>
      <c r="I62" s="24" t="s">
        <v>21</v>
      </c>
      <c r="J62" s="24" t="s">
        <v>16</v>
      </c>
      <c r="K62" s="71" t="s">
        <v>124</v>
      </c>
      <c r="L62" s="24" t="s">
        <v>77</v>
      </c>
      <c r="M62" s="25" t="s">
        <v>86</v>
      </c>
      <c r="N62" s="24" t="s">
        <v>209</v>
      </c>
      <c r="O62" s="25" t="s">
        <v>208</v>
      </c>
      <c r="P62" s="112" t="s">
        <v>73</v>
      </c>
      <c r="Q62" s="25" t="s">
        <v>229</v>
      </c>
      <c r="R62" s="2">
        <f>Tabla1[[#This Row],[Origin Date ]]+3</f>
        <v>45737</v>
      </c>
      <c r="S62" s="2">
        <v>45734</v>
      </c>
      <c r="T62" s="20">
        <f t="shared" si="8"/>
        <v>-3</v>
      </c>
      <c r="U62" s="27" t="str">
        <f t="shared" si="7"/>
        <v>Realizada a Tiempo</v>
      </c>
      <c r="V62" s="28" t="str">
        <f t="shared" si="9"/>
        <v>Cerrada</v>
      </c>
      <c r="W62" s="72">
        <v>0.8</v>
      </c>
      <c r="X62" s="29"/>
      <c r="Y62" s="28" t="s">
        <v>58</v>
      </c>
      <c r="Z62" s="35">
        <v>365</v>
      </c>
      <c r="AA62" s="36" t="s">
        <v>49</v>
      </c>
      <c r="AB62" s="31">
        <f>Tabla1[[#This Row],[Fecha de Entrega
End Date]]+$Z62</f>
        <v>46099</v>
      </c>
      <c r="AC62" s="44"/>
      <c r="AD62" s="70" t="s">
        <v>585</v>
      </c>
      <c r="AE62" s="37" t="s">
        <v>483</v>
      </c>
    </row>
    <row r="63" spans="1:31" ht="30" customHeight="1" x14ac:dyDescent="0.3">
      <c r="A63" s="2">
        <v>45735</v>
      </c>
      <c r="B63" s="111">
        <f>IF(Tabla1[[#This Row],[Origin Date ]]&lt;&gt;"",1+B62,"")</f>
        <v>59</v>
      </c>
      <c r="C63" s="22"/>
      <c r="D63" s="22"/>
      <c r="E63" s="21" t="s">
        <v>484</v>
      </c>
      <c r="F63" s="21" t="s">
        <v>484</v>
      </c>
      <c r="G63" s="22" t="s">
        <v>224</v>
      </c>
      <c r="H63" s="23" t="str">
        <f t="shared" si="6"/>
        <v>ATENDIDO</v>
      </c>
      <c r="I63" s="24" t="s">
        <v>21</v>
      </c>
      <c r="J63" s="24" t="s">
        <v>16</v>
      </c>
      <c r="K63" s="71" t="s">
        <v>124</v>
      </c>
      <c r="L63" s="24" t="s">
        <v>77</v>
      </c>
      <c r="M63" s="25" t="s">
        <v>86</v>
      </c>
      <c r="N63" s="24" t="s">
        <v>185</v>
      </c>
      <c r="O63" s="25" t="s">
        <v>208</v>
      </c>
      <c r="P63" s="112" t="s">
        <v>463</v>
      </c>
      <c r="Q63" s="25" t="s">
        <v>229</v>
      </c>
      <c r="R63" s="2">
        <f>Tabla1[[#This Row],[Origin Date ]]+3</f>
        <v>45738</v>
      </c>
      <c r="S63" s="2">
        <v>45738</v>
      </c>
      <c r="T63" s="20">
        <f t="shared" ref="T63:T70" si="10">IF((R63=""),"",IF((V63="Cerrada"),(S63-R63),IF((($AA$2-R63)&lt;=0),"-",($AA$2-R63))))</f>
        <v>0</v>
      </c>
      <c r="U63" s="27" t="str">
        <f t="shared" si="7"/>
        <v>Realizada a Tiempo</v>
      </c>
      <c r="V63" s="28" t="str">
        <f t="shared" si="9"/>
        <v>Cerrada</v>
      </c>
      <c r="W63" s="72">
        <v>0.8</v>
      </c>
      <c r="X63" s="29" t="s">
        <v>582</v>
      </c>
      <c r="Y63" s="28" t="s">
        <v>58</v>
      </c>
      <c r="Z63" s="35">
        <v>365</v>
      </c>
      <c r="AA63" s="36" t="s">
        <v>51</v>
      </c>
      <c r="AB63" s="31">
        <f>Tabla1[[#This Row],[Fecha de Entrega
End Date]]+$Z63</f>
        <v>46103</v>
      </c>
      <c r="AC63" s="44" t="s">
        <v>583</v>
      </c>
      <c r="AD63" s="70" t="s">
        <v>386</v>
      </c>
      <c r="AE63" s="37" t="s">
        <v>581</v>
      </c>
    </row>
    <row r="64" spans="1:31" ht="29.25" customHeight="1" x14ac:dyDescent="0.3">
      <c r="A64" s="2">
        <v>45735</v>
      </c>
      <c r="B64" s="111">
        <f>IF(Tabla1[[#This Row],[Origin Date ]]&lt;&gt;"",1+B63,"")</f>
        <v>60</v>
      </c>
      <c r="C64" s="22"/>
      <c r="D64" s="22"/>
      <c r="E64" s="21" t="s">
        <v>335</v>
      </c>
      <c r="F64" s="21" t="s">
        <v>335</v>
      </c>
      <c r="G64" s="22" t="s">
        <v>224</v>
      </c>
      <c r="H64" s="23" t="str">
        <f t="shared" si="6"/>
        <v>ATENDIDO</v>
      </c>
      <c r="I64" s="24" t="s">
        <v>21</v>
      </c>
      <c r="J64" s="24" t="s">
        <v>16</v>
      </c>
      <c r="K64" s="71" t="s">
        <v>124</v>
      </c>
      <c r="L64" s="24" t="s">
        <v>77</v>
      </c>
      <c r="M64" s="25" t="s">
        <v>86</v>
      </c>
      <c r="N64" s="24" t="s">
        <v>185</v>
      </c>
      <c r="O64" s="25" t="s">
        <v>208</v>
      </c>
      <c r="P64" s="112" t="s">
        <v>463</v>
      </c>
      <c r="Q64" s="25" t="s">
        <v>229</v>
      </c>
      <c r="R64" s="2">
        <f>Tabla1[[#This Row],[Origin Date ]]+3</f>
        <v>45738</v>
      </c>
      <c r="S64" s="2">
        <v>45735</v>
      </c>
      <c r="T64" s="20">
        <f t="shared" si="10"/>
        <v>-3</v>
      </c>
      <c r="U64" s="27" t="str">
        <f t="shared" si="7"/>
        <v>Realizada a Tiempo</v>
      </c>
      <c r="V64" s="28" t="str">
        <f t="shared" si="9"/>
        <v>Cerrada</v>
      </c>
      <c r="W64" s="72">
        <v>0.8</v>
      </c>
      <c r="X64" s="29"/>
      <c r="Y64" s="28" t="s">
        <v>58</v>
      </c>
      <c r="Z64" s="35">
        <v>365</v>
      </c>
      <c r="AA64" s="36" t="s">
        <v>50</v>
      </c>
      <c r="AB64" s="31">
        <f>Tabla1[[#This Row],[Fecha de Entrega
End Date]]+$Z64</f>
        <v>46100</v>
      </c>
      <c r="AC64" s="44"/>
      <c r="AD64" s="70" t="s">
        <v>386</v>
      </c>
      <c r="AE64" s="37"/>
    </row>
    <row r="65" spans="1:31" ht="31.5" customHeight="1" x14ac:dyDescent="0.3">
      <c r="A65" s="2">
        <v>45735</v>
      </c>
      <c r="B65" s="111">
        <f>IF(Tabla1[[#This Row],[Origin Date ]]&lt;&gt;"",1+B64,"")</f>
        <v>61</v>
      </c>
      <c r="C65" s="22"/>
      <c r="D65" s="22"/>
      <c r="E65" s="21" t="s">
        <v>347</v>
      </c>
      <c r="F65" s="21" t="s">
        <v>341</v>
      </c>
      <c r="G65" s="22" t="s">
        <v>224</v>
      </c>
      <c r="H65" s="23" t="str">
        <f t="shared" si="6"/>
        <v>ATENDIDO</v>
      </c>
      <c r="I65" s="24" t="s">
        <v>21</v>
      </c>
      <c r="J65" s="24" t="s">
        <v>16</v>
      </c>
      <c r="K65" s="71" t="s">
        <v>116</v>
      </c>
      <c r="L65" s="24" t="s">
        <v>77</v>
      </c>
      <c r="M65" s="25" t="s">
        <v>86</v>
      </c>
      <c r="N65" s="24" t="s">
        <v>209</v>
      </c>
      <c r="O65" s="25" t="s">
        <v>208</v>
      </c>
      <c r="P65" s="112" t="s">
        <v>73</v>
      </c>
      <c r="Q65" s="25" t="s">
        <v>320</v>
      </c>
      <c r="R65" s="2">
        <f>Tabla1[[#This Row],[Origin Date ]]+3</f>
        <v>45738</v>
      </c>
      <c r="S65" s="2">
        <v>45735</v>
      </c>
      <c r="T65" s="20">
        <f t="shared" si="10"/>
        <v>-3</v>
      </c>
      <c r="U65" s="27" t="str">
        <f t="shared" si="7"/>
        <v>Realizada a Tiempo</v>
      </c>
      <c r="V65" s="28" t="str">
        <f t="shared" si="9"/>
        <v>Cerrada</v>
      </c>
      <c r="W65" s="72">
        <v>1</v>
      </c>
      <c r="X65" s="29" t="s">
        <v>346</v>
      </c>
      <c r="Y65" s="28" t="s">
        <v>58</v>
      </c>
      <c r="Z65" s="35">
        <v>365</v>
      </c>
      <c r="AA65" s="36" t="s">
        <v>50</v>
      </c>
      <c r="AB65" s="31">
        <f>Tabla1[[#This Row],[Fecha de Entrega
End Date]]+$Z65</f>
        <v>46100</v>
      </c>
      <c r="AC65" s="44"/>
      <c r="AD65" s="70" t="s">
        <v>386</v>
      </c>
      <c r="AE65" s="37"/>
    </row>
    <row r="66" spans="1:31" ht="33" customHeight="1" x14ac:dyDescent="0.3">
      <c r="A66" s="2">
        <v>45735</v>
      </c>
      <c r="B66" s="111">
        <f>IF(Tabla1[[#This Row],[Origin Date ]]&lt;&gt;"",1+B65,"")</f>
        <v>62</v>
      </c>
      <c r="C66" s="22"/>
      <c r="D66" s="22"/>
      <c r="E66" s="21" t="s">
        <v>336</v>
      </c>
      <c r="F66" s="21" t="s">
        <v>336</v>
      </c>
      <c r="G66" s="22" t="s">
        <v>224</v>
      </c>
      <c r="H66" s="23" t="str">
        <f t="shared" si="6"/>
        <v>ATENDIDO</v>
      </c>
      <c r="I66" s="24" t="s">
        <v>21</v>
      </c>
      <c r="J66" s="24" t="s">
        <v>16</v>
      </c>
      <c r="K66" s="71" t="s">
        <v>125</v>
      </c>
      <c r="L66" s="24" t="s">
        <v>77</v>
      </c>
      <c r="M66" s="25" t="s">
        <v>86</v>
      </c>
      <c r="N66" s="24" t="s">
        <v>185</v>
      </c>
      <c r="O66" s="25" t="s">
        <v>208</v>
      </c>
      <c r="P66" s="112" t="s">
        <v>319</v>
      </c>
      <c r="Q66" s="25" t="s">
        <v>93</v>
      </c>
      <c r="R66" s="2">
        <f>Tabla1[[#This Row],[Origin Date ]]+3</f>
        <v>45738</v>
      </c>
      <c r="S66" s="2">
        <v>45737</v>
      </c>
      <c r="T66" s="20">
        <f t="shared" si="10"/>
        <v>-1</v>
      </c>
      <c r="U66" s="27" t="str">
        <f t="shared" si="7"/>
        <v>Realizada a Tiempo</v>
      </c>
      <c r="V66" s="28" t="str">
        <f t="shared" si="9"/>
        <v>Cerrada</v>
      </c>
      <c r="W66" s="72">
        <v>0.8</v>
      </c>
      <c r="X66" s="29"/>
      <c r="Y66" s="28" t="s">
        <v>58</v>
      </c>
      <c r="Z66" s="35">
        <v>365</v>
      </c>
      <c r="AA66" s="36" t="s">
        <v>50</v>
      </c>
      <c r="AB66" s="31">
        <f>Tabla1[[#This Row],[Fecha de Entrega
End Date]]+$Z66</f>
        <v>46102</v>
      </c>
      <c r="AC66" s="44"/>
      <c r="AD66" s="70" t="s">
        <v>386</v>
      </c>
      <c r="AE66" s="37" t="s">
        <v>485</v>
      </c>
    </row>
    <row r="67" spans="1:31" ht="29.25" customHeight="1" x14ac:dyDescent="0.3">
      <c r="A67" s="2">
        <v>45735</v>
      </c>
      <c r="B67" s="111">
        <f>IF(Tabla1[[#This Row],[Origin Date ]]&lt;&gt;"",1+B66,"")</f>
        <v>63</v>
      </c>
      <c r="C67" s="22"/>
      <c r="D67" s="22"/>
      <c r="E67" s="21" t="s">
        <v>486</v>
      </c>
      <c r="F67" s="21" t="s">
        <v>486</v>
      </c>
      <c r="G67" s="22" t="s">
        <v>534</v>
      </c>
      <c r="H67" s="23" t="str">
        <f t="shared" si="6"/>
        <v>ALTA</v>
      </c>
      <c r="I67" s="24" t="s">
        <v>21</v>
      </c>
      <c r="J67" s="24" t="s">
        <v>16</v>
      </c>
      <c r="K67" s="71" t="s">
        <v>116</v>
      </c>
      <c r="L67" s="24" t="s">
        <v>77</v>
      </c>
      <c r="M67" s="25" t="s">
        <v>86</v>
      </c>
      <c r="N67" s="24" t="s">
        <v>209</v>
      </c>
      <c r="O67" s="25" t="s">
        <v>208</v>
      </c>
      <c r="P67" s="112" t="s">
        <v>73</v>
      </c>
      <c r="Q67" s="25" t="s">
        <v>93</v>
      </c>
      <c r="R67" s="2">
        <f>Tabla1[[#This Row],[Origin Date ]]+3</f>
        <v>45738</v>
      </c>
      <c r="S67" s="2"/>
      <c r="T67" s="20" t="str">
        <f t="shared" si="10"/>
        <v>-</v>
      </c>
      <c r="U67" s="27" t="str">
        <f t="shared" ca="1" si="7"/>
        <v>Atrasada</v>
      </c>
      <c r="V67" s="28" t="str">
        <f t="shared" si="9"/>
        <v>Abierta</v>
      </c>
      <c r="W67" s="72">
        <v>0.2</v>
      </c>
      <c r="X67" s="29"/>
      <c r="Y67" s="28" t="s">
        <v>58</v>
      </c>
      <c r="Z67" s="35">
        <v>365</v>
      </c>
      <c r="AA67" s="36" t="s">
        <v>49</v>
      </c>
      <c r="AB67" s="31">
        <f>Tabla1[[#This Row],[Fecha de Entrega
End Date]]+$Z67</f>
        <v>365</v>
      </c>
      <c r="AC67" s="44"/>
      <c r="AD67" s="70" t="s">
        <v>585</v>
      </c>
      <c r="AE67" s="37"/>
    </row>
    <row r="68" spans="1:31" ht="27" customHeight="1" x14ac:dyDescent="0.3">
      <c r="A68" s="2">
        <v>45735</v>
      </c>
      <c r="B68" s="111">
        <f>IF(Tabla1[[#This Row],[Origin Date ]]&lt;&gt;"",1+B67,"")</f>
        <v>64</v>
      </c>
      <c r="C68" s="22"/>
      <c r="D68" s="22"/>
      <c r="E68" s="21" t="s">
        <v>349</v>
      </c>
      <c r="F68" s="21" t="s">
        <v>348</v>
      </c>
      <c r="G68" s="22" t="s">
        <v>224</v>
      </c>
      <c r="H68" s="23" t="str">
        <f t="shared" si="6"/>
        <v>ATENDIDO</v>
      </c>
      <c r="I68" s="24" t="s">
        <v>21</v>
      </c>
      <c r="J68" s="24" t="s">
        <v>16</v>
      </c>
      <c r="K68" s="71" t="s">
        <v>125</v>
      </c>
      <c r="L68" s="24" t="s">
        <v>77</v>
      </c>
      <c r="M68" s="25" t="s">
        <v>86</v>
      </c>
      <c r="N68" s="24" t="s">
        <v>185</v>
      </c>
      <c r="O68" s="25" t="s">
        <v>208</v>
      </c>
      <c r="P68" s="112" t="s">
        <v>319</v>
      </c>
      <c r="Q68" s="25" t="s">
        <v>93</v>
      </c>
      <c r="R68" s="2">
        <f>Tabla1[[#This Row],[Origin Date ]]+3</f>
        <v>45738</v>
      </c>
      <c r="S68" s="2">
        <v>45737</v>
      </c>
      <c r="T68" s="20">
        <f t="shared" si="10"/>
        <v>-1</v>
      </c>
      <c r="U68" s="27" t="str">
        <f t="shared" si="7"/>
        <v>Realizada a Tiempo</v>
      </c>
      <c r="V68" s="28" t="str">
        <f t="shared" si="9"/>
        <v>Cerrada</v>
      </c>
      <c r="W68" s="72">
        <v>1</v>
      </c>
      <c r="X68" s="29" t="s">
        <v>350</v>
      </c>
      <c r="Y68" s="28" t="s">
        <v>58</v>
      </c>
      <c r="Z68" s="35">
        <v>365</v>
      </c>
      <c r="AA68" s="36" t="s">
        <v>50</v>
      </c>
      <c r="AB68" s="31">
        <f>Tabla1[[#This Row],[Fecha de Entrega
End Date]]+$Z68</f>
        <v>46102</v>
      </c>
      <c r="AC68" s="44"/>
      <c r="AD68" s="70" t="s">
        <v>386</v>
      </c>
      <c r="AE68" s="37"/>
    </row>
    <row r="69" spans="1:31" ht="40.5" customHeight="1" x14ac:dyDescent="0.3">
      <c r="A69" s="2">
        <v>45735</v>
      </c>
      <c r="B69" s="111">
        <f>IF(Tabla1[[#This Row],[Origin Date ]]&lt;&gt;"",1+B68,"")</f>
        <v>65</v>
      </c>
      <c r="C69" s="22"/>
      <c r="D69" s="22"/>
      <c r="E69" s="21" t="s">
        <v>487</v>
      </c>
      <c r="F69" s="21" t="s">
        <v>358</v>
      </c>
      <c r="G69" s="22" t="s">
        <v>224</v>
      </c>
      <c r="H69" s="23" t="str">
        <f t="shared" ref="H69:H100" si="11">IF((A69=""),"",IF((V69="Cerrada"),"ATENDIDO",IF(OR((($AA$2-A69)=0),(($AA$2-A69)=-1),(($AA$2-A69)=-2),(($AA$2-A69)=-3)),"BAJO",IF((T69="-3"),"MEDIO","ALTA"))))</f>
        <v>ATENDIDO</v>
      </c>
      <c r="I69" s="24" t="s">
        <v>21</v>
      </c>
      <c r="J69" s="24" t="s">
        <v>16</v>
      </c>
      <c r="K69" s="71" t="s">
        <v>116</v>
      </c>
      <c r="L69" s="24" t="s">
        <v>77</v>
      </c>
      <c r="M69" s="25" t="s">
        <v>86</v>
      </c>
      <c r="N69" s="24" t="s">
        <v>209</v>
      </c>
      <c r="O69" s="25" t="s">
        <v>208</v>
      </c>
      <c r="P69" s="112" t="s">
        <v>73</v>
      </c>
      <c r="Q69" s="25" t="s">
        <v>320</v>
      </c>
      <c r="R69" s="2">
        <f>Tabla1[[#This Row],[Origin Date ]]+3</f>
        <v>45738</v>
      </c>
      <c r="S69" s="2">
        <v>45736</v>
      </c>
      <c r="T69" s="20">
        <f t="shared" si="10"/>
        <v>-2</v>
      </c>
      <c r="U69" s="27" t="str">
        <f t="shared" ref="U69:U100" si="12">IF((R69=""),"",IF((V69="Cerrada"),"Realizada a Tiempo",IF(OR((($AB$2-R69)=0),(($AB$2-R69)=-1),(($AB$2-R69)=-2),(($AB$2-R69)=-3)),"Tiempo Límite",IF((T69="&gt;9"),"En Proceso","Atrasada"))))</f>
        <v>Realizada a Tiempo</v>
      </c>
      <c r="V69" s="28" t="str">
        <f t="shared" si="9"/>
        <v>Cerrada</v>
      </c>
      <c r="W69" s="72">
        <v>1</v>
      </c>
      <c r="X69" s="29" t="s">
        <v>352</v>
      </c>
      <c r="Y69" s="28" t="s">
        <v>58</v>
      </c>
      <c r="Z69" s="35">
        <v>365</v>
      </c>
      <c r="AA69" s="36" t="s">
        <v>50</v>
      </c>
      <c r="AB69" s="31">
        <f>Tabla1[[#This Row],[Fecha de Entrega
End Date]]+$Z69</f>
        <v>46101</v>
      </c>
      <c r="AC69" s="44"/>
      <c r="AD69" s="70" t="s">
        <v>386</v>
      </c>
      <c r="AE69" s="37"/>
    </row>
    <row r="70" spans="1:31" ht="27" customHeight="1" x14ac:dyDescent="0.3">
      <c r="A70" s="2">
        <v>45758</v>
      </c>
      <c r="B70" s="111">
        <f>IF(Tabla1[[#This Row],[Origin Date ]]&lt;&gt;"",1+B69,"")</f>
        <v>66</v>
      </c>
      <c r="C70" s="22"/>
      <c r="D70" s="22"/>
      <c r="E70" s="21" t="s">
        <v>353</v>
      </c>
      <c r="F70" s="21" t="s">
        <v>584</v>
      </c>
      <c r="G70" s="22" t="s">
        <v>224</v>
      </c>
      <c r="H70" s="23" t="str">
        <f t="shared" si="11"/>
        <v>ATENDIDO</v>
      </c>
      <c r="I70" s="24" t="s">
        <v>21</v>
      </c>
      <c r="J70" s="24" t="s">
        <v>16</v>
      </c>
      <c r="K70" s="71" t="s">
        <v>116</v>
      </c>
      <c r="L70" s="24" t="s">
        <v>77</v>
      </c>
      <c r="M70" s="25" t="s">
        <v>86</v>
      </c>
      <c r="N70" s="24" t="s">
        <v>209</v>
      </c>
      <c r="O70" s="25" t="s">
        <v>208</v>
      </c>
      <c r="P70" s="112" t="s">
        <v>73</v>
      </c>
      <c r="Q70" s="25" t="s">
        <v>320</v>
      </c>
      <c r="R70" s="2">
        <f>Tabla1[[#This Row],[Origin Date ]]+3</f>
        <v>45761</v>
      </c>
      <c r="S70" s="2">
        <v>45761</v>
      </c>
      <c r="T70" s="20">
        <f t="shared" si="10"/>
        <v>0</v>
      </c>
      <c r="U70" s="27" t="str">
        <f t="shared" si="12"/>
        <v>Realizada a Tiempo</v>
      </c>
      <c r="V70" s="28" t="str">
        <f t="shared" si="9"/>
        <v>Cerrada</v>
      </c>
      <c r="W70" s="72">
        <v>1</v>
      </c>
      <c r="X70" s="29" t="s">
        <v>612</v>
      </c>
      <c r="Y70" s="28" t="s">
        <v>58</v>
      </c>
      <c r="Z70" s="35">
        <v>365</v>
      </c>
      <c r="AA70" s="36" t="s">
        <v>50</v>
      </c>
      <c r="AB70" s="31">
        <f>Tabla1[[#This Row],[Fecha de Entrega
End Date]]+$Z70</f>
        <v>46126</v>
      </c>
      <c r="AC70" s="84" t="s">
        <v>621</v>
      </c>
      <c r="AD70" s="70" t="s">
        <v>386</v>
      </c>
      <c r="AE70" s="37" t="s">
        <v>613</v>
      </c>
    </row>
    <row r="71" spans="1:31" ht="26.25" customHeight="1" x14ac:dyDescent="0.3">
      <c r="A71" s="2">
        <v>45737</v>
      </c>
      <c r="B71" s="142">
        <f>IF(Tabla1[[#This Row],[Origin Date ]]&lt;&gt;"",1+B70,"")</f>
        <v>67</v>
      </c>
      <c r="C71" s="150"/>
      <c r="D71" s="150"/>
      <c r="E71" s="46" t="s">
        <v>354</v>
      </c>
      <c r="F71" s="21" t="s">
        <v>357</v>
      </c>
      <c r="G71" s="22" t="s">
        <v>224</v>
      </c>
      <c r="H71" s="23" t="str">
        <f t="shared" si="11"/>
        <v>ATENDIDO</v>
      </c>
      <c r="I71" s="24" t="s">
        <v>21</v>
      </c>
      <c r="J71" s="24" t="s">
        <v>16</v>
      </c>
      <c r="K71" s="71" t="s">
        <v>116</v>
      </c>
      <c r="L71" s="24" t="s">
        <v>77</v>
      </c>
      <c r="M71" s="25" t="s">
        <v>86</v>
      </c>
      <c r="N71" s="24" t="s">
        <v>209</v>
      </c>
      <c r="O71" s="25" t="s">
        <v>208</v>
      </c>
      <c r="P71" s="112" t="s">
        <v>73</v>
      </c>
      <c r="Q71" s="25" t="s">
        <v>229</v>
      </c>
      <c r="R71" s="2">
        <f>Tabla1[[#This Row],[Origin Date ]]+3</f>
        <v>45740</v>
      </c>
      <c r="S71" s="2">
        <v>45740</v>
      </c>
      <c r="T71" s="47">
        <f t="shared" ref="T71:T85" si="13">IF((R71=""),"",IF((V71="Cerrada"),(S71-R71),IF((($AA$2-R71)&lt;=0),"-",($AA$2-R71))))</f>
        <v>0</v>
      </c>
      <c r="U71" s="27" t="str">
        <f t="shared" si="12"/>
        <v>Realizada a Tiempo</v>
      </c>
      <c r="V71" s="28" t="str">
        <f t="shared" si="9"/>
        <v>Cerrada</v>
      </c>
      <c r="W71" s="72">
        <v>0.8</v>
      </c>
      <c r="X71" s="29"/>
      <c r="Y71" s="28" t="s">
        <v>58</v>
      </c>
      <c r="Z71" s="35">
        <v>365</v>
      </c>
      <c r="AA71" s="36" t="s">
        <v>49</v>
      </c>
      <c r="AB71" s="31">
        <f>Tabla1[[#This Row],[Fecha de Entrega
End Date]]+$Z71</f>
        <v>46105</v>
      </c>
      <c r="AC71" s="48"/>
      <c r="AD71" s="70" t="s">
        <v>585</v>
      </c>
      <c r="AE71" s="37" t="s">
        <v>488</v>
      </c>
    </row>
    <row r="72" spans="1:31" ht="48" customHeight="1" x14ac:dyDescent="0.3">
      <c r="A72" s="2">
        <v>45748</v>
      </c>
      <c r="B72" s="111">
        <f>IF(Tabla1[[#This Row],[Origin Date ]]&lt;&gt;"",1+B71,"")</f>
        <v>68</v>
      </c>
      <c r="C72" s="22"/>
      <c r="D72" s="22"/>
      <c r="E72" s="21" t="s">
        <v>489</v>
      </c>
      <c r="F72" s="21" t="s">
        <v>514</v>
      </c>
      <c r="G72" s="22" t="s">
        <v>224</v>
      </c>
      <c r="H72" s="23" t="str">
        <f t="shared" si="11"/>
        <v>ALTA</v>
      </c>
      <c r="I72" s="24" t="s">
        <v>21</v>
      </c>
      <c r="J72" s="24" t="s">
        <v>16</v>
      </c>
      <c r="K72" s="71" t="s">
        <v>120</v>
      </c>
      <c r="L72" s="24" t="s">
        <v>77</v>
      </c>
      <c r="M72" s="25" t="s">
        <v>86</v>
      </c>
      <c r="N72" s="24" t="s">
        <v>209</v>
      </c>
      <c r="O72" s="25" t="s">
        <v>208</v>
      </c>
      <c r="P72" s="112" t="s">
        <v>181</v>
      </c>
      <c r="Q72" s="25" t="s">
        <v>320</v>
      </c>
      <c r="R72" s="2">
        <f>Tabla1[[#This Row],[Origin Date ]]+3</f>
        <v>45751</v>
      </c>
      <c r="S72" s="2"/>
      <c r="T72" s="47" t="str">
        <f t="shared" si="13"/>
        <v>-</v>
      </c>
      <c r="U72" s="27" t="str">
        <f t="shared" ca="1" si="12"/>
        <v>Atrasada</v>
      </c>
      <c r="V72" s="28" t="str">
        <f t="shared" si="9"/>
        <v>Abierta</v>
      </c>
      <c r="W72" s="72">
        <v>0.2</v>
      </c>
      <c r="X72" s="29"/>
      <c r="Y72" s="28" t="s">
        <v>58</v>
      </c>
      <c r="Z72" s="35">
        <v>365</v>
      </c>
      <c r="AA72" s="36" t="s">
        <v>49</v>
      </c>
      <c r="AB72" s="31">
        <f>Tabla1[[#This Row],[Fecha de Entrega
End Date]]+$Z72</f>
        <v>365</v>
      </c>
      <c r="AC72" s="48"/>
      <c r="AD72" s="70" t="s">
        <v>585</v>
      </c>
      <c r="AE72" s="37"/>
    </row>
    <row r="73" spans="1:31" ht="64.5" customHeight="1" x14ac:dyDescent="0.3">
      <c r="A73" s="2">
        <v>45737</v>
      </c>
      <c r="B73" s="111">
        <f>IF(Tabla1[[#This Row],[Origin Date ]]&lt;&gt;"",1+B72,"")</f>
        <v>69</v>
      </c>
      <c r="C73" s="22"/>
      <c r="D73" s="22"/>
      <c r="E73" s="21" t="s">
        <v>360</v>
      </c>
      <c r="F73" s="21" t="s">
        <v>359</v>
      </c>
      <c r="G73" s="22" t="s">
        <v>224</v>
      </c>
      <c r="H73" s="23" t="str">
        <f t="shared" si="11"/>
        <v>ATENDIDO</v>
      </c>
      <c r="I73" s="24" t="s">
        <v>21</v>
      </c>
      <c r="J73" s="24" t="s">
        <v>16</v>
      </c>
      <c r="K73" s="71" t="s">
        <v>124</v>
      </c>
      <c r="L73" s="24" t="s">
        <v>77</v>
      </c>
      <c r="M73" s="25" t="s">
        <v>86</v>
      </c>
      <c r="N73" s="24" t="s">
        <v>185</v>
      </c>
      <c r="O73" s="25" t="s">
        <v>208</v>
      </c>
      <c r="P73" s="112" t="s">
        <v>463</v>
      </c>
      <c r="Q73" s="25" t="s">
        <v>229</v>
      </c>
      <c r="R73" s="2">
        <f>Tabla1[[#This Row],[Origin Date ]]+3</f>
        <v>45740</v>
      </c>
      <c r="S73" s="2">
        <v>45738</v>
      </c>
      <c r="T73" s="47">
        <f t="shared" si="13"/>
        <v>-2</v>
      </c>
      <c r="U73" s="27" t="str">
        <f t="shared" si="12"/>
        <v>Realizada a Tiempo</v>
      </c>
      <c r="V73" s="28" t="str">
        <f t="shared" si="9"/>
        <v>Cerrada</v>
      </c>
      <c r="W73" s="72">
        <v>1</v>
      </c>
      <c r="X73" s="29"/>
      <c r="Y73" s="28" t="s">
        <v>58</v>
      </c>
      <c r="Z73" s="35">
        <v>365</v>
      </c>
      <c r="AA73" s="36" t="s">
        <v>50</v>
      </c>
      <c r="AB73" s="31">
        <f>Tabla1[[#This Row],[Fecha de Entrega
End Date]]+$Z73</f>
        <v>46103</v>
      </c>
      <c r="AC73" s="48"/>
      <c r="AD73" s="70" t="s">
        <v>386</v>
      </c>
      <c r="AE73" s="37"/>
    </row>
    <row r="74" spans="1:31" ht="39" customHeight="1" x14ac:dyDescent="0.3">
      <c r="A74" s="2">
        <v>45737</v>
      </c>
      <c r="B74" s="111">
        <f>IF(Tabla1[[#This Row],[Origin Date ]]&lt;&gt;"",1+B73,"")</f>
        <v>70</v>
      </c>
      <c r="C74" s="22"/>
      <c r="D74" s="22"/>
      <c r="E74" s="21" t="s">
        <v>361</v>
      </c>
      <c r="F74" s="21" t="s">
        <v>355</v>
      </c>
      <c r="G74" s="22" t="s">
        <v>224</v>
      </c>
      <c r="H74" s="23" t="str">
        <f t="shared" si="11"/>
        <v>ATENDIDO</v>
      </c>
      <c r="I74" s="24" t="s">
        <v>21</v>
      </c>
      <c r="J74" s="24" t="s">
        <v>16</v>
      </c>
      <c r="K74" s="71" t="s">
        <v>124</v>
      </c>
      <c r="L74" s="24" t="s">
        <v>77</v>
      </c>
      <c r="M74" s="25" t="s">
        <v>86</v>
      </c>
      <c r="N74" s="24" t="s">
        <v>185</v>
      </c>
      <c r="O74" s="25" t="s">
        <v>208</v>
      </c>
      <c r="P74" s="112" t="s">
        <v>463</v>
      </c>
      <c r="Q74" s="25" t="s">
        <v>229</v>
      </c>
      <c r="R74" s="2">
        <f>Tabla1[[#This Row],[Origin Date ]]+3</f>
        <v>45740</v>
      </c>
      <c r="S74" s="2">
        <v>45737</v>
      </c>
      <c r="T74" s="47">
        <f t="shared" si="13"/>
        <v>-3</v>
      </c>
      <c r="U74" s="27" t="str">
        <f t="shared" si="12"/>
        <v>Realizada a Tiempo</v>
      </c>
      <c r="V74" s="28" t="str">
        <f t="shared" si="9"/>
        <v>Cerrada</v>
      </c>
      <c r="W74" s="72">
        <v>1</v>
      </c>
      <c r="X74" s="29"/>
      <c r="Y74" s="28" t="s">
        <v>58</v>
      </c>
      <c r="Z74" s="35">
        <v>365</v>
      </c>
      <c r="AA74" s="36" t="s">
        <v>50</v>
      </c>
      <c r="AB74" s="31">
        <f>Tabla1[[#This Row],[Fecha de Entrega
End Date]]+$Z74</f>
        <v>46102</v>
      </c>
      <c r="AC74" s="48"/>
      <c r="AD74" s="70" t="s">
        <v>386</v>
      </c>
      <c r="AE74" s="37"/>
    </row>
    <row r="75" spans="1:31" ht="46.5" customHeight="1" x14ac:dyDescent="0.3">
      <c r="A75" s="2">
        <v>45737</v>
      </c>
      <c r="B75" s="111">
        <f>IF(Tabla1[[#This Row],[Origin Date ]]&lt;&gt;"",1+B74,"")</f>
        <v>71</v>
      </c>
      <c r="C75" s="22"/>
      <c r="D75" s="22"/>
      <c r="E75" s="21" t="s">
        <v>490</v>
      </c>
      <c r="F75" s="21" t="s">
        <v>356</v>
      </c>
      <c r="G75" s="22" t="s">
        <v>224</v>
      </c>
      <c r="H75" s="23" t="str">
        <f t="shared" si="11"/>
        <v>ATENDIDO</v>
      </c>
      <c r="I75" s="24" t="s">
        <v>21</v>
      </c>
      <c r="J75" s="24" t="s">
        <v>16</v>
      </c>
      <c r="K75" s="71" t="s">
        <v>124</v>
      </c>
      <c r="L75" s="24" t="s">
        <v>77</v>
      </c>
      <c r="M75" s="25" t="s">
        <v>86</v>
      </c>
      <c r="N75" s="24" t="s">
        <v>185</v>
      </c>
      <c r="O75" s="25" t="s">
        <v>208</v>
      </c>
      <c r="P75" s="112" t="s">
        <v>463</v>
      </c>
      <c r="Q75" s="25" t="s">
        <v>320</v>
      </c>
      <c r="R75" s="2">
        <f>Tabla1[[#This Row],[Origin Date ]]+3</f>
        <v>45740</v>
      </c>
      <c r="S75" s="2">
        <v>45737</v>
      </c>
      <c r="T75" s="47">
        <f t="shared" si="13"/>
        <v>-3</v>
      </c>
      <c r="U75" s="27" t="str">
        <f t="shared" si="12"/>
        <v>Realizada a Tiempo</v>
      </c>
      <c r="V75" s="28" t="str">
        <f t="shared" si="9"/>
        <v>Cerrada</v>
      </c>
      <c r="W75" s="72">
        <v>1</v>
      </c>
      <c r="X75" s="29"/>
      <c r="Y75" s="28" t="s">
        <v>58</v>
      </c>
      <c r="Z75" s="35">
        <v>365</v>
      </c>
      <c r="AA75" s="36" t="s">
        <v>50</v>
      </c>
      <c r="AB75" s="31">
        <f>Tabla1[[#This Row],[Fecha de Entrega
End Date]]+$Z75</f>
        <v>46102</v>
      </c>
      <c r="AC75" s="48"/>
      <c r="AD75" s="70" t="s">
        <v>386</v>
      </c>
      <c r="AE75" s="37"/>
    </row>
    <row r="76" spans="1:31" ht="40.5" customHeight="1" x14ac:dyDescent="0.3">
      <c r="A76" s="2">
        <v>45737</v>
      </c>
      <c r="B76" s="111">
        <f>IF(Tabla1[[#This Row],[Origin Date ]]&lt;&gt;"",1+B75,"")</f>
        <v>72</v>
      </c>
      <c r="C76" s="22"/>
      <c r="D76" s="22"/>
      <c r="E76" s="21" t="s">
        <v>491</v>
      </c>
      <c r="F76" s="21" t="s">
        <v>515</v>
      </c>
      <c r="G76" s="22" t="s">
        <v>224</v>
      </c>
      <c r="H76" s="23" t="str">
        <f t="shared" si="11"/>
        <v>ATENDIDO</v>
      </c>
      <c r="I76" s="24" t="s">
        <v>21</v>
      </c>
      <c r="J76" s="24" t="s">
        <v>16</v>
      </c>
      <c r="K76" s="71" t="s">
        <v>124</v>
      </c>
      <c r="L76" s="24" t="s">
        <v>77</v>
      </c>
      <c r="M76" s="25" t="s">
        <v>86</v>
      </c>
      <c r="N76" s="24" t="s">
        <v>185</v>
      </c>
      <c r="O76" s="25" t="s">
        <v>208</v>
      </c>
      <c r="P76" s="112" t="s">
        <v>463</v>
      </c>
      <c r="Q76" s="25" t="s">
        <v>93</v>
      </c>
      <c r="R76" s="2">
        <f>Tabla1[[#This Row],[Origin Date ]]+3</f>
        <v>45740</v>
      </c>
      <c r="S76" s="2">
        <v>45744</v>
      </c>
      <c r="T76" s="47">
        <f t="shared" si="13"/>
        <v>4</v>
      </c>
      <c r="U76" s="27" t="str">
        <f t="shared" si="12"/>
        <v>Realizada a Tiempo</v>
      </c>
      <c r="V76" s="28" t="str">
        <f t="shared" si="9"/>
        <v>Cerrada</v>
      </c>
      <c r="W76" s="72">
        <v>0.6</v>
      </c>
      <c r="X76" s="29"/>
      <c r="Y76" s="28" t="s">
        <v>58</v>
      </c>
      <c r="Z76" s="35">
        <v>365</v>
      </c>
      <c r="AA76" s="36" t="s">
        <v>50</v>
      </c>
      <c r="AB76" s="31">
        <f>Tabla1[[#This Row],[Fecha de Entrega
End Date]]+$Z76</f>
        <v>46109</v>
      </c>
      <c r="AC76" s="48"/>
      <c r="AD76" s="70" t="s">
        <v>387</v>
      </c>
      <c r="AE76" s="37" t="s">
        <v>680</v>
      </c>
    </row>
    <row r="77" spans="1:31" ht="26.25" customHeight="1" x14ac:dyDescent="0.3">
      <c r="A77" s="2">
        <v>45770</v>
      </c>
      <c r="B77" s="142">
        <f>IF(Tabla1[[#This Row],[Origin Date ]]&lt;&gt;"",1+B76,"")</f>
        <v>73</v>
      </c>
      <c r="C77" s="150"/>
      <c r="D77" s="150"/>
      <c r="E77" s="46" t="s">
        <v>362</v>
      </c>
      <c r="F77" s="21" t="s">
        <v>589</v>
      </c>
      <c r="G77" s="22" t="s">
        <v>224</v>
      </c>
      <c r="H77" s="23" t="str">
        <f t="shared" si="11"/>
        <v>ATENDIDO</v>
      </c>
      <c r="I77" s="24" t="s">
        <v>21</v>
      </c>
      <c r="J77" s="24" t="s">
        <v>16</v>
      </c>
      <c r="K77" s="71" t="s">
        <v>116</v>
      </c>
      <c r="L77" s="24" t="s">
        <v>77</v>
      </c>
      <c r="M77" s="25" t="s">
        <v>86</v>
      </c>
      <c r="N77" s="24" t="s">
        <v>209</v>
      </c>
      <c r="O77" s="25" t="s">
        <v>208</v>
      </c>
      <c r="P77" s="112" t="s">
        <v>73</v>
      </c>
      <c r="Q77" s="25" t="s">
        <v>320</v>
      </c>
      <c r="R77" s="2">
        <f>Tabla1[[#This Row],[Origin Date ]]+3</f>
        <v>45773</v>
      </c>
      <c r="S77" s="2">
        <v>45775</v>
      </c>
      <c r="T77" s="47">
        <f t="shared" si="13"/>
        <v>2</v>
      </c>
      <c r="U77" s="27" t="str">
        <f t="shared" si="12"/>
        <v>Realizada a Tiempo</v>
      </c>
      <c r="V77" s="28" t="str">
        <f t="shared" si="9"/>
        <v>Cerrada</v>
      </c>
      <c r="W77" s="72">
        <v>1</v>
      </c>
      <c r="X77" s="29" t="s">
        <v>679</v>
      </c>
      <c r="Y77" s="28" t="s">
        <v>58</v>
      </c>
      <c r="Z77" s="35">
        <v>365</v>
      </c>
      <c r="AA77" s="36" t="s">
        <v>51</v>
      </c>
      <c r="AB77" s="31">
        <f>Tabla1[[#This Row],[Fecha de Entrega
End Date]]+$Z77</f>
        <v>46140</v>
      </c>
      <c r="AC77" s="48"/>
      <c r="AD77" s="70" t="s">
        <v>387</v>
      </c>
      <c r="AE77" s="37" t="s">
        <v>681</v>
      </c>
    </row>
    <row r="78" spans="1:31" ht="54" customHeight="1" x14ac:dyDescent="0.3">
      <c r="A78" s="2">
        <v>45737</v>
      </c>
      <c r="B78" s="111">
        <f>IF(Tabla1[[#This Row],[Origin Date ]]&lt;&gt;"",1+B77,"")</f>
        <v>74</v>
      </c>
      <c r="C78" s="22"/>
      <c r="D78" s="22"/>
      <c r="E78" s="21" t="s">
        <v>492</v>
      </c>
      <c r="F78" s="46" t="s">
        <v>363</v>
      </c>
      <c r="G78" s="22" t="s">
        <v>224</v>
      </c>
      <c r="H78" s="23" t="str">
        <f t="shared" si="11"/>
        <v>ATENDIDO</v>
      </c>
      <c r="I78" s="24" t="s">
        <v>21</v>
      </c>
      <c r="J78" s="24" t="s">
        <v>16</v>
      </c>
      <c r="K78" s="71" t="s">
        <v>124</v>
      </c>
      <c r="L78" s="24" t="s">
        <v>77</v>
      </c>
      <c r="M78" s="25" t="s">
        <v>86</v>
      </c>
      <c r="N78" s="24" t="s">
        <v>185</v>
      </c>
      <c r="O78" s="25" t="s">
        <v>208</v>
      </c>
      <c r="P78" s="112" t="s">
        <v>463</v>
      </c>
      <c r="Q78" s="25" t="s">
        <v>229</v>
      </c>
      <c r="R78" s="2">
        <f>Tabla1[[#This Row],[Origin Date ]]+3</f>
        <v>45740</v>
      </c>
      <c r="S78" s="2">
        <v>45738</v>
      </c>
      <c r="T78" s="47">
        <f t="shared" si="13"/>
        <v>-2</v>
      </c>
      <c r="U78" s="27" t="str">
        <f t="shared" si="12"/>
        <v>Realizada a Tiempo</v>
      </c>
      <c r="V78" s="28" t="str">
        <f t="shared" si="9"/>
        <v>Cerrada</v>
      </c>
      <c r="W78" s="72">
        <v>1</v>
      </c>
      <c r="X78" s="29"/>
      <c r="Y78" s="28" t="s">
        <v>58</v>
      </c>
      <c r="Z78" s="35">
        <v>365</v>
      </c>
      <c r="AA78" s="36" t="s">
        <v>50</v>
      </c>
      <c r="AB78" s="31">
        <f>Tabla1[[#This Row],[Fecha de Entrega
End Date]]+$Z78</f>
        <v>46103</v>
      </c>
      <c r="AC78" s="48"/>
      <c r="AD78" s="70" t="s">
        <v>386</v>
      </c>
      <c r="AE78" s="37"/>
    </row>
    <row r="79" spans="1:31" ht="50.25" customHeight="1" x14ac:dyDescent="0.3">
      <c r="A79" s="2">
        <v>45758</v>
      </c>
      <c r="B79" s="111">
        <f>IF(Tabla1[[#This Row],[Origin Date ]]&lt;&gt;"",1+B78,"")</f>
        <v>75</v>
      </c>
      <c r="C79" s="22"/>
      <c r="D79" s="22"/>
      <c r="E79" s="21" t="s">
        <v>493</v>
      </c>
      <c r="F79" s="21" t="s">
        <v>590</v>
      </c>
      <c r="G79" s="22" t="s">
        <v>224</v>
      </c>
      <c r="H79" s="23" t="str">
        <f t="shared" si="11"/>
        <v>ATENDIDO</v>
      </c>
      <c r="I79" s="24" t="s">
        <v>21</v>
      </c>
      <c r="J79" s="24" t="s">
        <v>16</v>
      </c>
      <c r="K79" s="71" t="s">
        <v>116</v>
      </c>
      <c r="L79" s="24" t="s">
        <v>77</v>
      </c>
      <c r="M79" s="25" t="s">
        <v>86</v>
      </c>
      <c r="N79" s="24" t="s">
        <v>209</v>
      </c>
      <c r="O79" s="25" t="s">
        <v>208</v>
      </c>
      <c r="P79" s="112" t="s">
        <v>73</v>
      </c>
      <c r="Q79" s="25" t="s">
        <v>229</v>
      </c>
      <c r="R79" s="2">
        <f>Tabla1[[#This Row],[Origin Date ]]+3</f>
        <v>45761</v>
      </c>
      <c r="S79" s="2">
        <v>45761</v>
      </c>
      <c r="T79" s="47">
        <f t="shared" si="13"/>
        <v>0</v>
      </c>
      <c r="U79" s="27" t="str">
        <f t="shared" si="12"/>
        <v>Realizada a Tiempo</v>
      </c>
      <c r="V79" s="28" t="str">
        <f t="shared" si="9"/>
        <v>Cerrada</v>
      </c>
      <c r="W79" s="72">
        <v>1</v>
      </c>
      <c r="X79" s="29" t="s">
        <v>611</v>
      </c>
      <c r="Y79" s="28" t="s">
        <v>58</v>
      </c>
      <c r="Z79" s="35">
        <v>365</v>
      </c>
      <c r="AA79" s="36" t="s">
        <v>50</v>
      </c>
      <c r="AB79" s="31">
        <f>Tabla1[[#This Row],[Fecha de Entrega
End Date]]+$Z79</f>
        <v>46126</v>
      </c>
      <c r="AC79" s="84" t="s">
        <v>640</v>
      </c>
      <c r="AD79" s="70" t="s">
        <v>386</v>
      </c>
      <c r="AE79" s="37" t="s">
        <v>681</v>
      </c>
    </row>
    <row r="80" spans="1:31" ht="36.75" customHeight="1" x14ac:dyDescent="0.3">
      <c r="A80" s="2">
        <v>45740</v>
      </c>
      <c r="B80" s="142">
        <f>IF(Tabla1[[#This Row],[Origin Date ]]&lt;&gt;"",1+B79,"")</f>
        <v>76</v>
      </c>
      <c r="C80" s="150"/>
      <c r="D80" s="150"/>
      <c r="E80" s="46" t="s">
        <v>372</v>
      </c>
      <c r="F80" s="46" t="s">
        <v>364</v>
      </c>
      <c r="G80" s="22" t="s">
        <v>224</v>
      </c>
      <c r="H80" s="23" t="str">
        <f t="shared" si="11"/>
        <v>ATENDIDO</v>
      </c>
      <c r="I80" s="24" t="s">
        <v>21</v>
      </c>
      <c r="J80" s="24" t="s">
        <v>16</v>
      </c>
      <c r="K80" s="71" t="s">
        <v>116</v>
      </c>
      <c r="L80" s="24" t="s">
        <v>77</v>
      </c>
      <c r="M80" s="25" t="s">
        <v>86</v>
      </c>
      <c r="N80" s="24" t="s">
        <v>209</v>
      </c>
      <c r="O80" s="25" t="s">
        <v>208</v>
      </c>
      <c r="P80" s="112" t="s">
        <v>73</v>
      </c>
      <c r="Q80" s="25" t="s">
        <v>320</v>
      </c>
      <c r="R80" s="2">
        <f>Tabla1[[#This Row],[Origin Date ]]+3</f>
        <v>45743</v>
      </c>
      <c r="S80" s="2">
        <v>45741</v>
      </c>
      <c r="T80" s="47">
        <f t="shared" si="13"/>
        <v>-2</v>
      </c>
      <c r="U80" s="27" t="str">
        <f t="shared" si="12"/>
        <v>Realizada a Tiempo</v>
      </c>
      <c r="V80" s="28" t="str">
        <f t="shared" si="9"/>
        <v>Cerrada</v>
      </c>
      <c r="W80" s="72">
        <v>0.8</v>
      </c>
      <c r="X80" s="29"/>
      <c r="Y80" s="28" t="s">
        <v>58</v>
      </c>
      <c r="Z80" s="35">
        <v>365</v>
      </c>
      <c r="AA80" s="36" t="s">
        <v>49</v>
      </c>
      <c r="AB80" s="31">
        <f>Tabla1[[#This Row],[Fecha de Entrega
End Date]]+$Z80</f>
        <v>46106</v>
      </c>
      <c r="AC80" s="48"/>
      <c r="AD80" s="70" t="s">
        <v>585</v>
      </c>
      <c r="AE80" s="37" t="s">
        <v>485</v>
      </c>
    </row>
    <row r="81" spans="1:31" ht="38.25" customHeight="1" x14ac:dyDescent="0.3">
      <c r="A81" s="2">
        <v>45740</v>
      </c>
      <c r="B81" s="111">
        <f>IF(Tabla1[[#This Row],[Origin Date ]]&lt;&gt;"",1+B80,"")</f>
        <v>77</v>
      </c>
      <c r="C81" s="22"/>
      <c r="D81" s="22"/>
      <c r="E81" s="21" t="s">
        <v>373</v>
      </c>
      <c r="F81" s="21" t="s">
        <v>374</v>
      </c>
      <c r="G81" s="22" t="s">
        <v>224</v>
      </c>
      <c r="H81" s="23" t="str">
        <f t="shared" si="11"/>
        <v>ATENDIDO</v>
      </c>
      <c r="I81" s="24" t="s">
        <v>21</v>
      </c>
      <c r="J81" s="24" t="s">
        <v>16</v>
      </c>
      <c r="K81" s="71" t="s">
        <v>124</v>
      </c>
      <c r="L81" s="24" t="s">
        <v>77</v>
      </c>
      <c r="M81" s="25" t="s">
        <v>86</v>
      </c>
      <c r="N81" s="24" t="s">
        <v>185</v>
      </c>
      <c r="O81" s="25" t="s">
        <v>208</v>
      </c>
      <c r="P81" s="112" t="s">
        <v>463</v>
      </c>
      <c r="Q81" s="25" t="s">
        <v>229</v>
      </c>
      <c r="R81" s="2">
        <f>Tabla1[[#This Row],[Origin Date ]]+3</f>
        <v>45743</v>
      </c>
      <c r="S81" s="2">
        <v>45740</v>
      </c>
      <c r="T81" s="47">
        <f t="shared" si="13"/>
        <v>-3</v>
      </c>
      <c r="U81" s="27" t="str">
        <f t="shared" si="12"/>
        <v>Realizada a Tiempo</v>
      </c>
      <c r="V81" s="28" t="str">
        <f t="shared" si="9"/>
        <v>Cerrada</v>
      </c>
      <c r="W81" s="72">
        <v>1</v>
      </c>
      <c r="X81" s="29"/>
      <c r="Y81" s="28" t="s">
        <v>58</v>
      </c>
      <c r="Z81" s="35">
        <v>365</v>
      </c>
      <c r="AA81" s="36" t="s">
        <v>50</v>
      </c>
      <c r="AB81" s="31">
        <f>Tabla1[[#This Row],[Fecha de Entrega
End Date]]+$Z81</f>
        <v>46105</v>
      </c>
      <c r="AC81" s="48"/>
      <c r="AD81" s="70" t="s">
        <v>386</v>
      </c>
      <c r="AE81" s="37"/>
    </row>
    <row r="82" spans="1:31" ht="32.25" customHeight="1" x14ac:dyDescent="0.3">
      <c r="A82" s="2">
        <v>45745</v>
      </c>
      <c r="B82" s="111">
        <f>IF(Tabla1[[#This Row],[Origin Date ]]&lt;&gt;"",1+B81,"")</f>
        <v>78</v>
      </c>
      <c r="C82" s="22"/>
      <c r="D82" s="22"/>
      <c r="E82" s="21" t="s">
        <v>375</v>
      </c>
      <c r="F82" s="21" t="s">
        <v>365</v>
      </c>
      <c r="G82" s="22" t="s">
        <v>224</v>
      </c>
      <c r="H82" s="23" t="str">
        <f t="shared" si="11"/>
        <v>ATENDIDO</v>
      </c>
      <c r="I82" s="24" t="s">
        <v>21</v>
      </c>
      <c r="J82" s="24" t="s">
        <v>16</v>
      </c>
      <c r="K82" s="71" t="s">
        <v>124</v>
      </c>
      <c r="L82" s="24" t="s">
        <v>77</v>
      </c>
      <c r="M82" s="25" t="s">
        <v>86</v>
      </c>
      <c r="N82" s="24" t="s">
        <v>185</v>
      </c>
      <c r="O82" s="25" t="s">
        <v>208</v>
      </c>
      <c r="P82" s="112" t="s">
        <v>463</v>
      </c>
      <c r="Q82" s="25" t="s">
        <v>229</v>
      </c>
      <c r="R82" s="2">
        <f>Tabla1[[#This Row],[Origin Date ]]+3</f>
        <v>45748</v>
      </c>
      <c r="S82" s="2">
        <v>45745</v>
      </c>
      <c r="T82" s="47">
        <f t="shared" si="13"/>
        <v>-3</v>
      </c>
      <c r="U82" s="27" t="str">
        <f t="shared" si="12"/>
        <v>Realizada a Tiempo</v>
      </c>
      <c r="V82" s="28" t="str">
        <f t="shared" si="9"/>
        <v>Cerrada</v>
      </c>
      <c r="W82" s="72">
        <v>1</v>
      </c>
      <c r="X82" s="29"/>
      <c r="Y82" s="28" t="s">
        <v>58</v>
      </c>
      <c r="Z82" s="35">
        <v>365</v>
      </c>
      <c r="AA82" s="36" t="s">
        <v>50</v>
      </c>
      <c r="AB82" s="31">
        <f>Tabla1[[#This Row],[Fecha de Entrega
End Date]]+$Z82</f>
        <v>46110</v>
      </c>
      <c r="AC82" s="48"/>
      <c r="AD82" s="70" t="s">
        <v>386</v>
      </c>
      <c r="AE82" s="37" t="s">
        <v>383</v>
      </c>
    </row>
    <row r="83" spans="1:31" ht="46.5" customHeight="1" x14ac:dyDescent="0.3">
      <c r="A83" s="2">
        <v>45740</v>
      </c>
      <c r="B83" s="111">
        <f>IF(Tabla1[[#This Row],[Origin Date ]]&lt;&gt;"",1+B82,"")</f>
        <v>79</v>
      </c>
      <c r="C83" s="22"/>
      <c r="D83" s="22"/>
      <c r="E83" s="21" t="s">
        <v>376</v>
      </c>
      <c r="F83" s="21" t="s">
        <v>366</v>
      </c>
      <c r="G83" s="22" t="s">
        <v>224</v>
      </c>
      <c r="H83" s="23" t="str">
        <f t="shared" si="11"/>
        <v>ATENDIDO</v>
      </c>
      <c r="I83" s="24" t="s">
        <v>21</v>
      </c>
      <c r="J83" s="24" t="s">
        <v>16</v>
      </c>
      <c r="K83" s="71" t="s">
        <v>124</v>
      </c>
      <c r="L83" s="24" t="s">
        <v>77</v>
      </c>
      <c r="M83" s="25" t="s">
        <v>86</v>
      </c>
      <c r="N83" s="24" t="s">
        <v>185</v>
      </c>
      <c r="O83" s="25" t="s">
        <v>208</v>
      </c>
      <c r="P83" s="112" t="s">
        <v>370</v>
      </c>
      <c r="Q83" s="25" t="s">
        <v>229</v>
      </c>
      <c r="R83" s="2">
        <f>Tabla1[[#This Row],[Origin Date ]]+3</f>
        <v>45743</v>
      </c>
      <c r="S83" s="2">
        <v>45740</v>
      </c>
      <c r="T83" s="47">
        <f t="shared" si="13"/>
        <v>-3</v>
      </c>
      <c r="U83" s="27" t="str">
        <f t="shared" si="12"/>
        <v>Realizada a Tiempo</v>
      </c>
      <c r="V83" s="28" t="str">
        <f t="shared" si="9"/>
        <v>Cerrada</v>
      </c>
      <c r="W83" s="72">
        <v>1</v>
      </c>
      <c r="X83" s="29"/>
      <c r="Y83" s="28" t="s">
        <v>58</v>
      </c>
      <c r="Z83" s="35">
        <v>365</v>
      </c>
      <c r="AA83" s="36" t="s">
        <v>50</v>
      </c>
      <c r="AB83" s="31">
        <f>Tabla1[[#This Row],[Fecha de Entrega
End Date]]+$Z83</f>
        <v>46105</v>
      </c>
      <c r="AC83" s="48"/>
      <c r="AD83" s="70" t="s">
        <v>386</v>
      </c>
      <c r="AE83" s="37"/>
    </row>
    <row r="84" spans="1:31" ht="30.75" customHeight="1" x14ac:dyDescent="0.3">
      <c r="A84" s="2">
        <v>45740</v>
      </c>
      <c r="B84" s="111">
        <f>IF(Tabla1[[#This Row],[Origin Date ]]&lt;&gt;"",1+B83,"")</f>
        <v>80</v>
      </c>
      <c r="C84" s="22"/>
      <c r="D84" s="22"/>
      <c r="E84" s="21" t="s">
        <v>377</v>
      </c>
      <c r="F84" s="21" t="s">
        <v>367</v>
      </c>
      <c r="G84" s="22" t="s">
        <v>224</v>
      </c>
      <c r="H84" s="23" t="str">
        <f t="shared" si="11"/>
        <v>ATENDIDO</v>
      </c>
      <c r="I84" s="24" t="s">
        <v>21</v>
      </c>
      <c r="J84" s="24" t="s">
        <v>16</v>
      </c>
      <c r="K84" s="71" t="s">
        <v>125</v>
      </c>
      <c r="L84" s="24" t="s">
        <v>77</v>
      </c>
      <c r="M84" s="25" t="s">
        <v>86</v>
      </c>
      <c r="N84" s="24" t="s">
        <v>185</v>
      </c>
      <c r="O84" s="25" t="s">
        <v>208</v>
      </c>
      <c r="P84" s="112" t="s">
        <v>463</v>
      </c>
      <c r="Q84" s="25" t="s">
        <v>320</v>
      </c>
      <c r="R84" s="2">
        <f>Tabla1[[#This Row],[Origin Date ]]+3</f>
        <v>45743</v>
      </c>
      <c r="S84" s="2">
        <v>45747</v>
      </c>
      <c r="T84" s="47">
        <f t="shared" si="13"/>
        <v>4</v>
      </c>
      <c r="U84" s="27" t="str">
        <f t="shared" si="12"/>
        <v>Realizada a Tiempo</v>
      </c>
      <c r="V84" s="28" t="str">
        <f t="shared" si="9"/>
        <v>Cerrada</v>
      </c>
      <c r="W84" s="72">
        <v>0.6</v>
      </c>
      <c r="X84" s="29"/>
      <c r="Y84" s="28" t="s">
        <v>58</v>
      </c>
      <c r="Z84" s="35">
        <v>365</v>
      </c>
      <c r="AA84" s="36" t="s">
        <v>50</v>
      </c>
      <c r="AB84" s="31">
        <f>Tabla1[[#This Row],[Fecha de Entrega
End Date]]+$Z84</f>
        <v>46112</v>
      </c>
      <c r="AC84" s="48"/>
      <c r="AD84" s="70" t="s">
        <v>386</v>
      </c>
      <c r="AE84" s="37"/>
    </row>
    <row r="85" spans="1:31" ht="30.75" customHeight="1" x14ac:dyDescent="0.3">
      <c r="A85" s="2">
        <v>45740</v>
      </c>
      <c r="B85" s="111">
        <f>IF(Tabla1[[#This Row],[Origin Date ]]&lt;&gt;"",1+B84,"")</f>
        <v>81</v>
      </c>
      <c r="C85" s="22"/>
      <c r="D85" s="22"/>
      <c r="E85" s="21" t="s">
        <v>378</v>
      </c>
      <c r="F85" s="21" t="s">
        <v>368</v>
      </c>
      <c r="G85" s="22" t="s">
        <v>224</v>
      </c>
      <c r="H85" s="23" t="str">
        <f t="shared" si="11"/>
        <v>ATENDIDO</v>
      </c>
      <c r="I85" s="24" t="s">
        <v>21</v>
      </c>
      <c r="J85" s="24" t="s">
        <v>16</v>
      </c>
      <c r="K85" s="71" t="s">
        <v>124</v>
      </c>
      <c r="L85" s="24" t="s">
        <v>77</v>
      </c>
      <c r="M85" s="25" t="s">
        <v>86</v>
      </c>
      <c r="N85" s="24" t="s">
        <v>185</v>
      </c>
      <c r="O85" s="25" t="s">
        <v>208</v>
      </c>
      <c r="P85" s="112" t="s">
        <v>463</v>
      </c>
      <c r="Q85" s="25" t="s">
        <v>320</v>
      </c>
      <c r="R85" s="2">
        <f>Tabla1[[#This Row],[Origin Date ]]+3</f>
        <v>45743</v>
      </c>
      <c r="S85" s="2">
        <v>45741</v>
      </c>
      <c r="T85" s="47">
        <f t="shared" si="13"/>
        <v>-2</v>
      </c>
      <c r="U85" s="27" t="str">
        <f t="shared" si="12"/>
        <v>Realizada a Tiempo</v>
      </c>
      <c r="V85" s="28" t="str">
        <f t="shared" si="9"/>
        <v>Cerrada</v>
      </c>
      <c r="W85" s="72">
        <v>1</v>
      </c>
      <c r="X85" s="29"/>
      <c r="Y85" s="28" t="s">
        <v>58</v>
      </c>
      <c r="Z85" s="35">
        <v>365</v>
      </c>
      <c r="AA85" s="36" t="s">
        <v>50</v>
      </c>
      <c r="AB85" s="31">
        <f>Tabla1[[#This Row],[Fecha de Entrega
End Date]]+$Z85</f>
        <v>46106</v>
      </c>
      <c r="AC85" s="48"/>
      <c r="AD85" s="70" t="s">
        <v>386</v>
      </c>
      <c r="AE85" s="37"/>
    </row>
    <row r="86" spans="1:31" ht="36" customHeight="1" x14ac:dyDescent="0.3">
      <c r="A86" s="2">
        <v>45741</v>
      </c>
      <c r="B86" s="111">
        <f>IF(Tabla1[[#This Row],[Origin Date ]]&lt;&gt;"",1+B85,"")</f>
        <v>82</v>
      </c>
      <c r="C86" s="22"/>
      <c r="D86" s="22"/>
      <c r="E86" s="21" t="s">
        <v>379</v>
      </c>
      <c r="F86" s="21" t="s">
        <v>369</v>
      </c>
      <c r="G86" s="22" t="s">
        <v>224</v>
      </c>
      <c r="H86" s="23" t="str">
        <f t="shared" si="11"/>
        <v>ATENDIDO</v>
      </c>
      <c r="I86" s="24" t="s">
        <v>21</v>
      </c>
      <c r="J86" s="24" t="s">
        <v>16</v>
      </c>
      <c r="K86" s="71" t="s">
        <v>116</v>
      </c>
      <c r="L86" s="24" t="s">
        <v>77</v>
      </c>
      <c r="M86" s="25" t="s">
        <v>86</v>
      </c>
      <c r="N86" s="24" t="s">
        <v>209</v>
      </c>
      <c r="O86" s="25" t="s">
        <v>208</v>
      </c>
      <c r="P86" s="112" t="s">
        <v>73</v>
      </c>
      <c r="Q86" s="25" t="s">
        <v>229</v>
      </c>
      <c r="R86" s="2">
        <f>Tabla1[[#This Row],[Origin Date ]]+3</f>
        <v>45744</v>
      </c>
      <c r="S86" s="2">
        <v>45741</v>
      </c>
      <c r="T86" s="20">
        <f t="shared" ref="T86:T96" si="14">IF((R86=""),"",IF((V86="Cerrada"),(S86-R86),IF((($AA$2-R86)&lt;=0),"-",($AA$2-R86))))</f>
        <v>-3</v>
      </c>
      <c r="U86" s="27" t="str">
        <f t="shared" si="12"/>
        <v>Realizada a Tiempo</v>
      </c>
      <c r="V86" s="28" t="str">
        <f t="shared" si="9"/>
        <v>Cerrada</v>
      </c>
      <c r="W86" s="72">
        <v>1</v>
      </c>
      <c r="X86" s="29"/>
      <c r="Y86" s="28" t="s">
        <v>58</v>
      </c>
      <c r="Z86" s="35">
        <v>365</v>
      </c>
      <c r="AA86" s="36" t="s">
        <v>50</v>
      </c>
      <c r="AB86" s="31">
        <f>Tabla1[[#This Row],[Fecha de Entrega
End Date]]+$Z86</f>
        <v>46106</v>
      </c>
      <c r="AC86" s="44"/>
      <c r="AD86" s="70" t="s">
        <v>386</v>
      </c>
      <c r="AE86" s="37"/>
    </row>
    <row r="87" spans="1:31" ht="40.5" customHeight="1" x14ac:dyDescent="0.3">
      <c r="A87" s="2">
        <v>45775</v>
      </c>
      <c r="B87" s="111">
        <f>IF(Tabla1[[#This Row],[Origin Date ]]&lt;&gt;"",1+B86,"")</f>
        <v>83</v>
      </c>
      <c r="C87" s="22"/>
      <c r="D87" s="22"/>
      <c r="E87" s="21" t="s">
        <v>380</v>
      </c>
      <c r="F87" s="21" t="s">
        <v>591</v>
      </c>
      <c r="G87" s="22" t="s">
        <v>224</v>
      </c>
      <c r="H87" s="23" t="str">
        <f t="shared" si="11"/>
        <v>ALTA</v>
      </c>
      <c r="I87" s="24" t="s">
        <v>21</v>
      </c>
      <c r="J87" s="24" t="s">
        <v>16</v>
      </c>
      <c r="K87" s="71" t="s">
        <v>116</v>
      </c>
      <c r="L87" s="24" t="s">
        <v>77</v>
      </c>
      <c r="M87" s="25" t="s">
        <v>86</v>
      </c>
      <c r="N87" s="24" t="s">
        <v>209</v>
      </c>
      <c r="O87" s="25" t="s">
        <v>208</v>
      </c>
      <c r="P87" s="112" t="s">
        <v>73</v>
      </c>
      <c r="Q87" s="25" t="s">
        <v>229</v>
      </c>
      <c r="R87" s="2">
        <f>Tabla1[[#This Row],[Origin Date ]]+3</f>
        <v>45778</v>
      </c>
      <c r="S87" s="2"/>
      <c r="T87" s="20" t="str">
        <f t="shared" si="14"/>
        <v>-</v>
      </c>
      <c r="U87" s="27" t="str">
        <f t="shared" ca="1" si="12"/>
        <v>Atrasada</v>
      </c>
      <c r="V87" s="28" t="str">
        <f t="shared" si="9"/>
        <v>Abierta</v>
      </c>
      <c r="W87" s="72">
        <v>0.8</v>
      </c>
      <c r="X87" s="29"/>
      <c r="Y87" s="28" t="s">
        <v>58</v>
      </c>
      <c r="Z87" s="35">
        <v>365</v>
      </c>
      <c r="AA87" s="36" t="s">
        <v>50</v>
      </c>
      <c r="AB87" s="31">
        <f>Tabla1[[#This Row],[Fecha de Entrega
End Date]]+$Z87</f>
        <v>365</v>
      </c>
      <c r="AC87" s="44"/>
      <c r="AD87" s="70" t="s">
        <v>384</v>
      </c>
      <c r="AE87" s="37" t="s">
        <v>485</v>
      </c>
    </row>
    <row r="88" spans="1:31" ht="33" customHeight="1" x14ac:dyDescent="0.3">
      <c r="A88" s="2">
        <v>45741</v>
      </c>
      <c r="B88" s="111">
        <f>IF(Tabla1[[#This Row],[Origin Date ]]&lt;&gt;"",1+B87,"")</f>
        <v>84</v>
      </c>
      <c r="C88" s="22"/>
      <c r="D88" s="22"/>
      <c r="E88" s="21" t="s">
        <v>381</v>
      </c>
      <c r="F88" s="21" t="s">
        <v>516</v>
      </c>
      <c r="G88" s="22" t="s">
        <v>224</v>
      </c>
      <c r="H88" s="23" t="str">
        <f t="shared" si="11"/>
        <v>ATENDIDO</v>
      </c>
      <c r="I88" s="24" t="s">
        <v>21</v>
      </c>
      <c r="J88" s="24" t="s">
        <v>16</v>
      </c>
      <c r="K88" s="71" t="s">
        <v>124</v>
      </c>
      <c r="L88" s="24" t="s">
        <v>77</v>
      </c>
      <c r="M88" s="25" t="s">
        <v>86</v>
      </c>
      <c r="N88" s="24" t="s">
        <v>185</v>
      </c>
      <c r="O88" s="25" t="s">
        <v>208</v>
      </c>
      <c r="P88" s="112" t="s">
        <v>463</v>
      </c>
      <c r="Q88" s="25" t="s">
        <v>320</v>
      </c>
      <c r="R88" s="2">
        <f>Tabla1[[#This Row],[Origin Date ]]+3</f>
        <v>45744</v>
      </c>
      <c r="S88" s="2">
        <v>45744</v>
      </c>
      <c r="T88" s="20">
        <f t="shared" si="14"/>
        <v>0</v>
      </c>
      <c r="U88" s="27" t="str">
        <f t="shared" si="12"/>
        <v>Realizada a Tiempo</v>
      </c>
      <c r="V88" s="28" t="str">
        <f t="shared" si="9"/>
        <v>Cerrada</v>
      </c>
      <c r="W88" s="72">
        <v>1</v>
      </c>
      <c r="X88" s="29"/>
      <c r="Y88" s="28" t="s">
        <v>58</v>
      </c>
      <c r="Z88" s="35">
        <v>365</v>
      </c>
      <c r="AA88" s="36" t="s">
        <v>50</v>
      </c>
      <c r="AB88" s="31">
        <f>Tabla1[[#This Row],[Fecha de Entrega
End Date]]+$Z88</f>
        <v>46109</v>
      </c>
      <c r="AC88" s="44"/>
      <c r="AD88" s="70" t="s">
        <v>386</v>
      </c>
      <c r="AE88" s="37" t="s">
        <v>485</v>
      </c>
    </row>
    <row r="89" spans="1:31" ht="32.25" customHeight="1" x14ac:dyDescent="0.3">
      <c r="A89" s="2">
        <v>45741</v>
      </c>
      <c r="B89" s="111">
        <f>IF(Tabla1[[#This Row],[Origin Date ]]&lt;&gt;"",1+B88,"")</f>
        <v>85</v>
      </c>
      <c r="C89" s="22"/>
      <c r="D89" s="22"/>
      <c r="E89" s="21" t="s">
        <v>527</v>
      </c>
      <c r="F89" s="21" t="s">
        <v>528</v>
      </c>
      <c r="G89" s="22" t="s">
        <v>224</v>
      </c>
      <c r="H89" s="23" t="str">
        <f t="shared" si="11"/>
        <v>ATENDIDO</v>
      </c>
      <c r="I89" s="24" t="s">
        <v>21</v>
      </c>
      <c r="J89" s="24" t="s">
        <v>16</v>
      </c>
      <c r="K89" s="71" t="s">
        <v>124</v>
      </c>
      <c r="L89" s="24" t="s">
        <v>77</v>
      </c>
      <c r="M89" s="25" t="s">
        <v>86</v>
      </c>
      <c r="N89" s="24" t="s">
        <v>185</v>
      </c>
      <c r="O89" s="25" t="s">
        <v>208</v>
      </c>
      <c r="P89" s="112" t="s">
        <v>293</v>
      </c>
      <c r="Q89" s="25" t="s">
        <v>320</v>
      </c>
      <c r="R89" s="2">
        <f>Tabla1[[#This Row],[Origin Date ]]+3</f>
        <v>45744</v>
      </c>
      <c r="S89" s="2">
        <v>45744</v>
      </c>
      <c r="T89" s="20">
        <f t="shared" si="14"/>
        <v>0</v>
      </c>
      <c r="U89" s="27" t="str">
        <f t="shared" si="12"/>
        <v>Realizada a Tiempo</v>
      </c>
      <c r="V89" s="28" t="str">
        <f t="shared" si="9"/>
        <v>Cerrada</v>
      </c>
      <c r="W89" s="72">
        <v>1</v>
      </c>
      <c r="X89" s="29"/>
      <c r="Y89" s="28" t="s">
        <v>58</v>
      </c>
      <c r="Z89" s="35">
        <v>365</v>
      </c>
      <c r="AA89" s="36" t="s">
        <v>50</v>
      </c>
      <c r="AB89" s="31">
        <f>Tabla1[[#This Row],[Fecha de Entrega
End Date]]+$Z89</f>
        <v>46109</v>
      </c>
      <c r="AC89" s="44"/>
      <c r="AD89" s="70" t="s">
        <v>386</v>
      </c>
      <c r="AE89" s="37"/>
    </row>
    <row r="90" spans="1:31" ht="40.5" customHeight="1" x14ac:dyDescent="0.3">
      <c r="A90" s="2">
        <v>45742</v>
      </c>
      <c r="B90" s="111">
        <f>IF(Tabla1[[#This Row],[Origin Date ]]&lt;&gt;"",1+B89,"")</f>
        <v>86</v>
      </c>
      <c r="C90" s="22"/>
      <c r="D90" s="22"/>
      <c r="E90" s="21" t="s">
        <v>382</v>
      </c>
      <c r="F90" s="21" t="s">
        <v>371</v>
      </c>
      <c r="G90" s="22" t="s">
        <v>224</v>
      </c>
      <c r="H90" s="23" t="str">
        <f t="shared" si="11"/>
        <v>ATENDIDO</v>
      </c>
      <c r="I90" s="24" t="s">
        <v>21</v>
      </c>
      <c r="J90" s="24" t="s">
        <v>16</v>
      </c>
      <c r="K90" s="71" t="s">
        <v>125</v>
      </c>
      <c r="L90" s="24" t="s">
        <v>77</v>
      </c>
      <c r="M90" s="25" t="s">
        <v>86</v>
      </c>
      <c r="N90" s="24" t="s">
        <v>185</v>
      </c>
      <c r="O90" s="25" t="s">
        <v>208</v>
      </c>
      <c r="P90" s="112" t="s">
        <v>319</v>
      </c>
      <c r="Q90" s="25" t="s">
        <v>93</v>
      </c>
      <c r="R90" s="2">
        <f>Tabla1[[#This Row],[Origin Date ]]+3</f>
        <v>45745</v>
      </c>
      <c r="S90" s="2">
        <v>45742</v>
      </c>
      <c r="T90" s="20">
        <f t="shared" si="14"/>
        <v>-3</v>
      </c>
      <c r="U90" s="27" t="str">
        <f t="shared" si="12"/>
        <v>Realizada a Tiempo</v>
      </c>
      <c r="V90" s="28" t="str">
        <f t="shared" si="9"/>
        <v>Cerrada</v>
      </c>
      <c r="W90" s="72">
        <v>1</v>
      </c>
      <c r="X90" s="29"/>
      <c r="Y90" s="28" t="s">
        <v>58</v>
      </c>
      <c r="Z90" s="35">
        <v>365</v>
      </c>
      <c r="AA90" s="36" t="s">
        <v>50</v>
      </c>
      <c r="AB90" s="31">
        <f>Tabla1[[#This Row],[Fecha de Entrega
End Date]]+$Z90</f>
        <v>46107</v>
      </c>
      <c r="AC90" s="44"/>
      <c r="AD90" s="70" t="s">
        <v>386</v>
      </c>
      <c r="AE90" s="37"/>
    </row>
    <row r="91" spans="1:31" ht="40.5" customHeight="1" x14ac:dyDescent="0.3">
      <c r="A91" s="2">
        <v>45742</v>
      </c>
      <c r="B91" s="111">
        <f>IF(Tabla1[[#This Row],[Origin Date ]]&lt;&gt;"",1+B90,"")</f>
        <v>87</v>
      </c>
      <c r="C91" s="22"/>
      <c r="D91" s="22"/>
      <c r="E91" s="21" t="s">
        <v>420</v>
      </c>
      <c r="F91" s="21" t="s">
        <v>631</v>
      </c>
      <c r="G91" s="22" t="s">
        <v>224</v>
      </c>
      <c r="H91" s="23" t="str">
        <f t="shared" si="11"/>
        <v>ATENDIDO</v>
      </c>
      <c r="I91" s="24" t="s">
        <v>21</v>
      </c>
      <c r="J91" s="24" t="s">
        <v>16</v>
      </c>
      <c r="K91" s="71" t="s">
        <v>116</v>
      </c>
      <c r="L91" s="24" t="s">
        <v>77</v>
      </c>
      <c r="M91" s="25" t="s">
        <v>86</v>
      </c>
      <c r="N91" s="24" t="s">
        <v>209</v>
      </c>
      <c r="O91" s="25" t="s">
        <v>208</v>
      </c>
      <c r="P91" s="112" t="s">
        <v>73</v>
      </c>
      <c r="Q91" s="25" t="s">
        <v>93</v>
      </c>
      <c r="R91" s="2">
        <f>Tabla1[[#This Row],[Origin Date ]]+3</f>
        <v>45745</v>
      </c>
      <c r="S91" s="2">
        <v>45744</v>
      </c>
      <c r="T91" s="20">
        <f t="shared" si="14"/>
        <v>-1</v>
      </c>
      <c r="U91" s="27" t="str">
        <f t="shared" si="12"/>
        <v>Realizada a Tiempo</v>
      </c>
      <c r="V91" s="28" t="str">
        <f t="shared" si="9"/>
        <v>Cerrada</v>
      </c>
      <c r="W91" s="72">
        <v>1</v>
      </c>
      <c r="X91" s="29" t="s">
        <v>632</v>
      </c>
      <c r="Y91" s="28" t="s">
        <v>58</v>
      </c>
      <c r="Z91" s="35">
        <v>365</v>
      </c>
      <c r="AA91" s="36" t="s">
        <v>50</v>
      </c>
      <c r="AB91" s="31">
        <f>Tabla1[[#This Row],[Fecha de Entrega
End Date]]+$Z91</f>
        <v>46109</v>
      </c>
      <c r="AC91" s="84" t="s">
        <v>633</v>
      </c>
      <c r="AD91" s="70" t="s">
        <v>386</v>
      </c>
      <c r="AE91" s="37"/>
    </row>
    <row r="92" spans="1:31" ht="32.25" customHeight="1" x14ac:dyDescent="0.3">
      <c r="A92" s="2">
        <v>45742</v>
      </c>
      <c r="B92" s="111">
        <f>IF(Tabla1[[#This Row],[Origin Date ]]&lt;&gt;"",1+B91,"")</f>
        <v>88</v>
      </c>
      <c r="C92" s="22"/>
      <c r="D92" s="22"/>
      <c r="E92" s="21" t="s">
        <v>421</v>
      </c>
      <c r="F92" s="21" t="s">
        <v>388</v>
      </c>
      <c r="G92" s="22" t="s">
        <v>224</v>
      </c>
      <c r="H92" s="23" t="str">
        <f t="shared" si="11"/>
        <v>ATENDIDO</v>
      </c>
      <c r="I92" s="24" t="s">
        <v>21</v>
      </c>
      <c r="J92" s="24" t="s">
        <v>16</v>
      </c>
      <c r="K92" s="71" t="s">
        <v>116</v>
      </c>
      <c r="L92" s="24" t="s">
        <v>77</v>
      </c>
      <c r="M92" s="25" t="s">
        <v>86</v>
      </c>
      <c r="N92" s="24" t="s">
        <v>209</v>
      </c>
      <c r="O92" s="25" t="s">
        <v>208</v>
      </c>
      <c r="P92" s="112" t="s">
        <v>73</v>
      </c>
      <c r="Q92" s="25" t="s">
        <v>93</v>
      </c>
      <c r="R92" s="2">
        <f>Tabla1[[#This Row],[Origin Date ]]+3</f>
        <v>45745</v>
      </c>
      <c r="S92" s="2">
        <v>45747</v>
      </c>
      <c r="T92" s="20">
        <f t="shared" si="14"/>
        <v>2</v>
      </c>
      <c r="U92" s="27" t="str">
        <f t="shared" si="12"/>
        <v>Realizada a Tiempo</v>
      </c>
      <c r="V92" s="28" t="str">
        <f t="shared" si="9"/>
        <v>Cerrada</v>
      </c>
      <c r="W92" s="72">
        <v>1</v>
      </c>
      <c r="X92" s="29" t="s">
        <v>545</v>
      </c>
      <c r="Y92" s="28" t="s">
        <v>58</v>
      </c>
      <c r="Z92" s="35">
        <v>365</v>
      </c>
      <c r="AA92" s="36" t="s">
        <v>50</v>
      </c>
      <c r="AB92" s="31">
        <f>Tabla1[[#This Row],[Fecha de Entrega
End Date]]+$Z92</f>
        <v>46112</v>
      </c>
      <c r="AC92" s="44" t="s">
        <v>623</v>
      </c>
      <c r="AD92" s="70" t="s">
        <v>386</v>
      </c>
      <c r="AE92" s="37" t="s">
        <v>641</v>
      </c>
    </row>
    <row r="93" spans="1:31" ht="33" customHeight="1" x14ac:dyDescent="0.3">
      <c r="A93" s="2">
        <v>45758</v>
      </c>
      <c r="B93" s="111">
        <f>IF(Tabla1[[#This Row],[Origin Date ]]&lt;&gt;"",1+B92,"")</f>
        <v>89</v>
      </c>
      <c r="C93" s="22"/>
      <c r="D93" s="22"/>
      <c r="E93" s="21" t="s">
        <v>422</v>
      </c>
      <c r="F93" s="21" t="s">
        <v>389</v>
      </c>
      <c r="G93" s="22" t="s">
        <v>224</v>
      </c>
      <c r="H93" s="23" t="str">
        <f t="shared" si="11"/>
        <v>ATENDIDO</v>
      </c>
      <c r="I93" s="24" t="s">
        <v>21</v>
      </c>
      <c r="J93" s="24" t="s">
        <v>16</v>
      </c>
      <c r="K93" s="71" t="s">
        <v>125</v>
      </c>
      <c r="L93" s="24" t="s">
        <v>77</v>
      </c>
      <c r="M93" s="25" t="s">
        <v>86</v>
      </c>
      <c r="N93" s="24" t="s">
        <v>185</v>
      </c>
      <c r="O93" s="25" t="s">
        <v>208</v>
      </c>
      <c r="P93" s="112" t="s">
        <v>319</v>
      </c>
      <c r="Q93" s="25" t="s">
        <v>229</v>
      </c>
      <c r="R93" s="2">
        <f>Tabla1[[#This Row],[Origin Date ]]+3</f>
        <v>45761</v>
      </c>
      <c r="S93" s="2">
        <v>45761</v>
      </c>
      <c r="T93" s="20">
        <f t="shared" si="14"/>
        <v>0</v>
      </c>
      <c r="U93" s="27" t="str">
        <f t="shared" si="12"/>
        <v>Realizada a Tiempo</v>
      </c>
      <c r="V93" s="28" t="str">
        <f t="shared" si="9"/>
        <v>Cerrada</v>
      </c>
      <c r="W93" s="72">
        <v>0.8</v>
      </c>
      <c r="X93" s="29" t="s">
        <v>533</v>
      </c>
      <c r="Y93" s="28" t="s">
        <v>58</v>
      </c>
      <c r="Z93" s="35">
        <v>365</v>
      </c>
      <c r="AA93" s="36" t="s">
        <v>50</v>
      </c>
      <c r="AB93" s="31">
        <f>Tabla1[[#This Row],[Fecha de Entrega
End Date]]+$Z93</f>
        <v>46126</v>
      </c>
      <c r="AC93" s="44"/>
      <c r="AD93" s="70" t="s">
        <v>386</v>
      </c>
      <c r="AE93" s="37"/>
    </row>
    <row r="94" spans="1:31" ht="41.25" customHeight="1" x14ac:dyDescent="0.3">
      <c r="A94" s="2">
        <v>45742</v>
      </c>
      <c r="B94" s="111">
        <f>IF(Tabla1[[#This Row],[Origin Date ]]&lt;&gt;"",1+B93,"")</f>
        <v>90</v>
      </c>
      <c r="C94" s="22"/>
      <c r="D94" s="22"/>
      <c r="E94" s="21" t="s">
        <v>423</v>
      </c>
      <c r="F94" s="21" t="s">
        <v>390</v>
      </c>
      <c r="G94" s="22" t="s">
        <v>224</v>
      </c>
      <c r="H94" s="23" t="str">
        <f t="shared" si="11"/>
        <v>ATENDIDO</v>
      </c>
      <c r="I94" s="24" t="s">
        <v>21</v>
      </c>
      <c r="J94" s="24" t="s">
        <v>16</v>
      </c>
      <c r="K94" s="71" t="s">
        <v>124</v>
      </c>
      <c r="L94" s="24" t="s">
        <v>77</v>
      </c>
      <c r="M94" s="25" t="s">
        <v>86</v>
      </c>
      <c r="N94" s="24" t="s">
        <v>185</v>
      </c>
      <c r="O94" s="25" t="s">
        <v>208</v>
      </c>
      <c r="P94" s="112" t="s">
        <v>319</v>
      </c>
      <c r="Q94" s="25" t="s">
        <v>229</v>
      </c>
      <c r="R94" s="2">
        <f>Tabla1[[#This Row],[Origin Date ]]+3</f>
        <v>45745</v>
      </c>
      <c r="S94" s="2">
        <v>45743</v>
      </c>
      <c r="T94" s="20">
        <f t="shared" si="14"/>
        <v>-2</v>
      </c>
      <c r="U94" s="27" t="str">
        <f t="shared" si="12"/>
        <v>Realizada a Tiempo</v>
      </c>
      <c r="V94" s="28" t="str">
        <f t="shared" si="9"/>
        <v>Cerrada</v>
      </c>
      <c r="W94" s="72">
        <v>1</v>
      </c>
      <c r="X94" s="29"/>
      <c r="Y94" s="28" t="s">
        <v>58</v>
      </c>
      <c r="Z94" s="35">
        <v>365</v>
      </c>
      <c r="AA94" s="36" t="s">
        <v>50</v>
      </c>
      <c r="AB94" s="31">
        <f>Tabla1[[#This Row],[Fecha de Entrega
End Date]]+$Z94</f>
        <v>46108</v>
      </c>
      <c r="AC94" s="44"/>
      <c r="AD94" s="70" t="s">
        <v>386</v>
      </c>
      <c r="AE94" s="37"/>
    </row>
    <row r="95" spans="1:31" ht="32.25" customHeight="1" x14ac:dyDescent="0.3">
      <c r="A95" s="2">
        <v>45742</v>
      </c>
      <c r="B95" s="143">
        <f>IF(Tabla1[[#This Row],[Origin Date ]]&lt;&gt;"",1+B94,"")</f>
        <v>91</v>
      </c>
      <c r="C95" s="113"/>
      <c r="D95" s="113"/>
      <c r="E95" s="49" t="s">
        <v>424</v>
      </c>
      <c r="F95" s="49" t="s">
        <v>391</v>
      </c>
      <c r="G95" s="22" t="s">
        <v>224</v>
      </c>
      <c r="H95" s="23" t="str">
        <f t="shared" si="11"/>
        <v>ATENDIDO</v>
      </c>
      <c r="I95" s="24" t="s">
        <v>21</v>
      </c>
      <c r="J95" s="24" t="s">
        <v>16</v>
      </c>
      <c r="K95" s="71" t="s">
        <v>116</v>
      </c>
      <c r="L95" s="24" t="s">
        <v>77</v>
      </c>
      <c r="M95" s="25" t="s">
        <v>86</v>
      </c>
      <c r="N95" s="24" t="s">
        <v>209</v>
      </c>
      <c r="O95" s="25" t="s">
        <v>208</v>
      </c>
      <c r="P95" s="112" t="s">
        <v>73</v>
      </c>
      <c r="Q95" s="25" t="s">
        <v>93</v>
      </c>
      <c r="R95" s="2">
        <f>Tabla1[[#This Row],[Origin Date ]]+3</f>
        <v>45745</v>
      </c>
      <c r="S95" s="2">
        <v>45742</v>
      </c>
      <c r="T95" s="20">
        <f>IF((R95=""),"",IF((V95="Cerrada"),(S95-R95),IF((($AA$2-R95)&lt;=0),"-",($AA$2-R95))))</f>
        <v>-3</v>
      </c>
      <c r="U95" s="27" t="str">
        <f t="shared" si="12"/>
        <v>Realizada a Tiempo</v>
      </c>
      <c r="V95" s="28" t="str">
        <f t="shared" si="9"/>
        <v>Cerrada</v>
      </c>
      <c r="W95" s="72">
        <v>1</v>
      </c>
      <c r="X95" s="29"/>
      <c r="Y95" s="28" t="s">
        <v>58</v>
      </c>
      <c r="Z95" s="35">
        <v>365</v>
      </c>
      <c r="AA95" s="36" t="s">
        <v>50</v>
      </c>
      <c r="AB95" s="31">
        <f>Tabla1[[#This Row],[Fecha de Entrega
End Date]]+$Z95</f>
        <v>46107</v>
      </c>
      <c r="AC95" s="44"/>
      <c r="AD95" s="70" t="s">
        <v>386</v>
      </c>
      <c r="AE95" s="37"/>
    </row>
    <row r="96" spans="1:31" ht="30.75" customHeight="1" x14ac:dyDescent="0.3">
      <c r="A96" s="2">
        <v>45761</v>
      </c>
      <c r="B96" s="111">
        <f>IF(Tabla1[[#This Row],[Origin Date ]]&lt;&gt;"",1+B95,"")</f>
        <v>92</v>
      </c>
      <c r="C96" s="22"/>
      <c r="D96" s="22"/>
      <c r="E96" s="21" t="s">
        <v>425</v>
      </c>
      <c r="F96" s="21" t="s">
        <v>595</v>
      </c>
      <c r="G96" s="22" t="s">
        <v>224</v>
      </c>
      <c r="H96" s="23" t="str">
        <f t="shared" si="11"/>
        <v>ALTA</v>
      </c>
      <c r="I96" s="24" t="s">
        <v>21</v>
      </c>
      <c r="J96" s="24" t="s">
        <v>16</v>
      </c>
      <c r="K96" s="71" t="s">
        <v>116</v>
      </c>
      <c r="L96" s="24" t="s">
        <v>77</v>
      </c>
      <c r="M96" s="25" t="s">
        <v>86</v>
      </c>
      <c r="N96" s="24" t="s">
        <v>209</v>
      </c>
      <c r="O96" s="25" t="s">
        <v>208</v>
      </c>
      <c r="P96" s="112" t="s">
        <v>73</v>
      </c>
      <c r="Q96" s="25" t="s">
        <v>320</v>
      </c>
      <c r="R96" s="2">
        <f>Tabla1[[#This Row],[Origin Date ]]+3</f>
        <v>45764</v>
      </c>
      <c r="S96" s="2"/>
      <c r="T96" s="20" t="str">
        <f t="shared" si="14"/>
        <v>-</v>
      </c>
      <c r="U96" s="27" t="str">
        <f t="shared" ca="1" si="12"/>
        <v>Atrasada</v>
      </c>
      <c r="V96" s="28" t="str">
        <f t="shared" si="9"/>
        <v>Abierta</v>
      </c>
      <c r="W96" s="72">
        <v>0.8</v>
      </c>
      <c r="X96" s="29"/>
      <c r="Y96" s="28" t="s">
        <v>58</v>
      </c>
      <c r="Z96" s="35">
        <v>365</v>
      </c>
      <c r="AA96" s="36" t="s">
        <v>50</v>
      </c>
      <c r="AB96" s="31">
        <f>Tabla1[[#This Row],[Fecha de Entrega
End Date]]+$Z96</f>
        <v>365</v>
      </c>
      <c r="AC96" s="44"/>
      <c r="AD96" s="70" t="s">
        <v>585</v>
      </c>
      <c r="AE96" s="37" t="s">
        <v>1103</v>
      </c>
    </row>
    <row r="97" spans="1:32" ht="40.5" customHeight="1" x14ac:dyDescent="0.3">
      <c r="A97" s="2">
        <v>45742</v>
      </c>
      <c r="B97" s="111">
        <f>IF(Tabla1[[#This Row],[Origin Date ]]&lt;&gt;"",1+B96,"")</f>
        <v>93</v>
      </c>
      <c r="C97" s="22"/>
      <c r="D97" s="22"/>
      <c r="E97" s="21" t="s">
        <v>426</v>
      </c>
      <c r="F97" s="21" t="s">
        <v>392</v>
      </c>
      <c r="G97" s="22" t="s">
        <v>224</v>
      </c>
      <c r="H97" s="23" t="str">
        <f t="shared" si="11"/>
        <v>ALTA</v>
      </c>
      <c r="I97" s="24" t="s">
        <v>21</v>
      </c>
      <c r="J97" s="24" t="s">
        <v>16</v>
      </c>
      <c r="K97" s="71" t="s">
        <v>125</v>
      </c>
      <c r="L97" s="24" t="s">
        <v>77</v>
      </c>
      <c r="M97" s="25" t="s">
        <v>86</v>
      </c>
      <c r="N97" s="24" t="s">
        <v>185</v>
      </c>
      <c r="O97" s="25" t="s">
        <v>208</v>
      </c>
      <c r="P97" s="112" t="s">
        <v>319</v>
      </c>
      <c r="Q97" s="25" t="s">
        <v>93</v>
      </c>
      <c r="R97" s="2">
        <f>Tabla1[[#This Row],[Origin Date ]]+3</f>
        <v>45745</v>
      </c>
      <c r="S97" s="2"/>
      <c r="T97" s="20" t="str">
        <f t="shared" ref="T97:T102" si="15">IF((R97=""),"",IF((V97="Cerrada"),(S97-R97),IF((($AA$2-R97)&lt;=0),"-",($AA$2-R97))))</f>
        <v>-</v>
      </c>
      <c r="U97" s="27" t="str">
        <f t="shared" ca="1" si="12"/>
        <v>Atrasada</v>
      </c>
      <c r="V97" s="28" t="str">
        <f t="shared" si="9"/>
        <v>Abierta</v>
      </c>
      <c r="W97" s="72">
        <v>0.2</v>
      </c>
      <c r="X97" s="29"/>
      <c r="Y97" s="28" t="s">
        <v>58</v>
      </c>
      <c r="Z97" s="35">
        <v>365</v>
      </c>
      <c r="AA97" s="36" t="s">
        <v>49</v>
      </c>
      <c r="AB97" s="31">
        <f>Tabla1[[#This Row],[Fecha de Entrega
End Date]]+$Z97</f>
        <v>365</v>
      </c>
      <c r="AC97" s="44"/>
      <c r="AD97" s="70" t="s">
        <v>585</v>
      </c>
      <c r="AE97" s="37" t="s">
        <v>592</v>
      </c>
    </row>
    <row r="98" spans="1:32" ht="38.25" customHeight="1" x14ac:dyDescent="0.3">
      <c r="A98" s="2">
        <v>45744</v>
      </c>
      <c r="B98" s="111">
        <f>IF(Tabla1[[#This Row],[Origin Date ]]&lt;&gt;"",1+B97,"")</f>
        <v>94</v>
      </c>
      <c r="C98" s="22"/>
      <c r="D98" s="22"/>
      <c r="E98" s="21" t="s">
        <v>494</v>
      </c>
      <c r="F98" s="21" t="s">
        <v>517</v>
      </c>
      <c r="G98" s="22" t="s">
        <v>224</v>
      </c>
      <c r="H98" s="23" t="str">
        <f t="shared" si="11"/>
        <v>ATENDIDO</v>
      </c>
      <c r="I98" s="24" t="s">
        <v>21</v>
      </c>
      <c r="J98" s="24" t="s">
        <v>16</v>
      </c>
      <c r="K98" s="71" t="s">
        <v>17</v>
      </c>
      <c r="L98" s="24" t="s">
        <v>77</v>
      </c>
      <c r="M98" s="25" t="s">
        <v>86</v>
      </c>
      <c r="N98" s="24" t="s">
        <v>211</v>
      </c>
      <c r="O98" s="25" t="s">
        <v>208</v>
      </c>
      <c r="P98" s="112" t="s">
        <v>181</v>
      </c>
      <c r="Q98" s="25" t="s">
        <v>229</v>
      </c>
      <c r="R98" s="2">
        <f>Tabla1[[#This Row],[Origin Date ]]+3</f>
        <v>45747</v>
      </c>
      <c r="S98" s="2">
        <v>45751</v>
      </c>
      <c r="T98" s="20">
        <f t="shared" si="15"/>
        <v>4</v>
      </c>
      <c r="U98" s="27" t="str">
        <f t="shared" si="12"/>
        <v>Realizada a Tiempo</v>
      </c>
      <c r="V98" s="28" t="str">
        <f t="shared" si="9"/>
        <v>Cerrada</v>
      </c>
      <c r="W98" s="72">
        <v>0.8</v>
      </c>
      <c r="X98" s="29"/>
      <c r="Y98" s="28" t="s">
        <v>58</v>
      </c>
      <c r="Z98" s="35">
        <v>365</v>
      </c>
      <c r="AA98" s="36" t="s">
        <v>50</v>
      </c>
      <c r="AB98" s="31">
        <f>Tabla1[[#This Row],[Fecha de Entrega
End Date]]+$Z98</f>
        <v>46116</v>
      </c>
      <c r="AC98" s="44"/>
      <c r="AD98" s="70" t="s">
        <v>387</v>
      </c>
      <c r="AE98" s="37"/>
    </row>
    <row r="99" spans="1:32" ht="33" customHeight="1" x14ac:dyDescent="0.3">
      <c r="A99" s="2">
        <v>45742</v>
      </c>
      <c r="B99" s="111">
        <f>IF(Tabla1[[#This Row],[Origin Date ]]&lt;&gt;"",1+B98,"")</f>
        <v>95</v>
      </c>
      <c r="C99" s="22"/>
      <c r="D99" s="22"/>
      <c r="E99" s="21" t="s">
        <v>427</v>
      </c>
      <c r="F99" s="21" t="s">
        <v>395</v>
      </c>
      <c r="G99" s="22" t="s">
        <v>396</v>
      </c>
      <c r="H99" s="23" t="str">
        <f t="shared" si="11"/>
        <v>ATENDIDO</v>
      </c>
      <c r="I99" s="24" t="s">
        <v>21</v>
      </c>
      <c r="J99" s="24" t="s">
        <v>16</v>
      </c>
      <c r="K99" s="71" t="s">
        <v>116</v>
      </c>
      <c r="L99" s="24" t="s">
        <v>77</v>
      </c>
      <c r="M99" s="25" t="s">
        <v>86</v>
      </c>
      <c r="N99" s="24" t="s">
        <v>209</v>
      </c>
      <c r="O99" s="25" t="s">
        <v>208</v>
      </c>
      <c r="P99" s="112" t="s">
        <v>73</v>
      </c>
      <c r="Q99" s="25" t="s">
        <v>93</v>
      </c>
      <c r="R99" s="2">
        <f>Tabla1[[#This Row],[Origin Date ]]+3</f>
        <v>45745</v>
      </c>
      <c r="S99" s="2">
        <v>45748</v>
      </c>
      <c r="T99" s="20">
        <f t="shared" si="15"/>
        <v>3</v>
      </c>
      <c r="U99" s="27" t="str">
        <f t="shared" si="12"/>
        <v>Realizada a Tiempo</v>
      </c>
      <c r="V99" s="28" t="str">
        <f t="shared" si="9"/>
        <v>Cerrada</v>
      </c>
      <c r="W99" s="72">
        <v>1</v>
      </c>
      <c r="X99" s="29"/>
      <c r="Y99" s="28" t="s">
        <v>58</v>
      </c>
      <c r="Z99" s="35">
        <v>365</v>
      </c>
      <c r="AA99" s="36" t="s">
        <v>50</v>
      </c>
      <c r="AB99" s="31">
        <f>Tabla1[[#This Row],[Fecha de Entrega
End Date]]+$Z99</f>
        <v>46113</v>
      </c>
      <c r="AC99" s="44"/>
      <c r="AD99" s="70" t="s">
        <v>387</v>
      </c>
      <c r="AE99" s="37"/>
    </row>
    <row r="100" spans="1:32" ht="29.25" customHeight="1" x14ac:dyDescent="0.3">
      <c r="A100" s="2">
        <v>45742</v>
      </c>
      <c r="B100" s="111">
        <f>IF(Tabla1[[#This Row],[Origin Date ]]&lt;&gt;"",1+B99,"")</f>
        <v>96</v>
      </c>
      <c r="C100" s="22"/>
      <c r="D100" s="22"/>
      <c r="E100" s="21" t="s">
        <v>428</v>
      </c>
      <c r="F100" s="21" t="s">
        <v>397</v>
      </c>
      <c r="G100" s="22" t="s">
        <v>396</v>
      </c>
      <c r="H100" s="23" t="str">
        <f t="shared" si="11"/>
        <v>ATENDIDO</v>
      </c>
      <c r="I100" s="24" t="s">
        <v>21</v>
      </c>
      <c r="J100" s="24" t="s">
        <v>16</v>
      </c>
      <c r="K100" s="71" t="s">
        <v>116</v>
      </c>
      <c r="L100" s="24" t="s">
        <v>77</v>
      </c>
      <c r="M100" s="25" t="s">
        <v>86</v>
      </c>
      <c r="N100" s="24" t="s">
        <v>209</v>
      </c>
      <c r="O100" s="25" t="s">
        <v>208</v>
      </c>
      <c r="P100" s="112" t="s">
        <v>73</v>
      </c>
      <c r="Q100" s="25" t="s">
        <v>93</v>
      </c>
      <c r="R100" s="2">
        <f>Tabla1[[#This Row],[Origin Date ]]+3</f>
        <v>45745</v>
      </c>
      <c r="S100" s="2">
        <v>45744</v>
      </c>
      <c r="T100" s="20">
        <f t="shared" si="15"/>
        <v>-1</v>
      </c>
      <c r="U100" s="27" t="str">
        <f t="shared" si="12"/>
        <v>Realizada a Tiempo</v>
      </c>
      <c r="V100" s="28" t="str">
        <f t="shared" si="9"/>
        <v>Cerrada</v>
      </c>
      <c r="W100" s="72">
        <v>1</v>
      </c>
      <c r="X100" s="29"/>
      <c r="Y100" s="28" t="s">
        <v>58</v>
      </c>
      <c r="Z100" s="35">
        <v>365</v>
      </c>
      <c r="AA100" s="36" t="s">
        <v>50</v>
      </c>
      <c r="AB100" s="31">
        <f>Tabla1[[#This Row],[Fecha de Entrega
End Date]]+$Z100</f>
        <v>46109</v>
      </c>
      <c r="AC100" s="44"/>
      <c r="AD100" s="70" t="s">
        <v>386</v>
      </c>
      <c r="AE100" s="37"/>
    </row>
    <row r="101" spans="1:32" ht="33" customHeight="1" x14ac:dyDescent="0.3">
      <c r="A101" s="2">
        <v>45744</v>
      </c>
      <c r="B101" s="111">
        <f>IF(Tabla1[[#This Row],[Origin Date ]]&lt;&gt;"",1+B100,"")</f>
        <v>97</v>
      </c>
      <c r="C101" s="22"/>
      <c r="D101" s="22"/>
      <c r="E101" s="21" t="s">
        <v>429</v>
      </c>
      <c r="F101" s="21" t="s">
        <v>398</v>
      </c>
      <c r="G101" s="22" t="s">
        <v>224</v>
      </c>
      <c r="H101" s="23" t="str">
        <f t="shared" ref="H101:H127" si="16">IF((A101=""),"",IF((V101="Cerrada"),"ATENDIDO",IF(OR((($AA$2-A101)=0),(($AA$2-A101)=-1),(($AA$2-A101)=-2),(($AA$2-A101)=-3)),"BAJO",IF((T101="-3"),"MEDIO","ALTA"))))</f>
        <v>ATENDIDO</v>
      </c>
      <c r="I101" s="24" t="s">
        <v>21</v>
      </c>
      <c r="J101" s="24" t="s">
        <v>16</v>
      </c>
      <c r="K101" s="71" t="s">
        <v>116</v>
      </c>
      <c r="L101" s="24" t="s">
        <v>77</v>
      </c>
      <c r="M101" s="25" t="s">
        <v>86</v>
      </c>
      <c r="N101" s="24" t="s">
        <v>209</v>
      </c>
      <c r="O101" s="25" t="s">
        <v>208</v>
      </c>
      <c r="P101" s="112" t="s">
        <v>73</v>
      </c>
      <c r="Q101" s="25" t="s">
        <v>229</v>
      </c>
      <c r="R101" s="2">
        <f>Tabla1[[#This Row],[Origin Date ]]+3</f>
        <v>45747</v>
      </c>
      <c r="S101" s="2">
        <v>45745</v>
      </c>
      <c r="T101" s="20">
        <f t="shared" si="15"/>
        <v>-2</v>
      </c>
      <c r="U101" s="27" t="str">
        <f t="shared" ref="U101:U127" si="17">IF((R101=""),"",IF((V101="Cerrada"),"Realizada a Tiempo",IF(OR((($AB$2-R101)=0),(($AB$2-R101)=-1),(($AB$2-R101)=-2),(($AB$2-R101)=-3)),"Tiempo Límite",IF((T101="&gt;9"),"En Proceso","Atrasada"))))</f>
        <v>Realizada a Tiempo</v>
      </c>
      <c r="V101" s="28" t="str">
        <f t="shared" si="9"/>
        <v>Cerrada</v>
      </c>
      <c r="W101" s="72">
        <v>1</v>
      </c>
      <c r="X101" s="29"/>
      <c r="Y101" s="28" t="s">
        <v>58</v>
      </c>
      <c r="Z101" s="35">
        <v>365</v>
      </c>
      <c r="AA101" s="36" t="s">
        <v>50</v>
      </c>
      <c r="AB101" s="31">
        <f>Tabla1[[#This Row],[Fecha de Entrega
End Date]]+$Z101</f>
        <v>46110</v>
      </c>
      <c r="AC101" s="44"/>
      <c r="AD101" s="70" t="s">
        <v>386</v>
      </c>
      <c r="AE101" s="37"/>
    </row>
    <row r="102" spans="1:32" ht="33" customHeight="1" x14ac:dyDescent="0.3">
      <c r="A102" s="2">
        <v>45744</v>
      </c>
      <c r="B102" s="111">
        <f>IF(Tabla1[[#This Row],[Origin Date ]]&lt;&gt;"",1+B101,"")</f>
        <v>98</v>
      </c>
      <c r="C102" s="22"/>
      <c r="D102" s="22"/>
      <c r="E102" s="21" t="s">
        <v>529</v>
      </c>
      <c r="F102" s="21" t="s">
        <v>542</v>
      </c>
      <c r="G102" s="22" t="s">
        <v>540</v>
      </c>
      <c r="H102" s="23" t="str">
        <f t="shared" si="16"/>
        <v>ATENDIDO</v>
      </c>
      <c r="I102" s="24" t="s">
        <v>21</v>
      </c>
      <c r="J102" s="24" t="s">
        <v>16</v>
      </c>
      <c r="K102" s="71" t="s">
        <v>120</v>
      </c>
      <c r="L102" s="24" t="s">
        <v>77</v>
      </c>
      <c r="M102" s="25" t="s">
        <v>86</v>
      </c>
      <c r="N102" s="24" t="s">
        <v>209</v>
      </c>
      <c r="O102" s="25" t="s">
        <v>208</v>
      </c>
      <c r="P102" s="112" t="s">
        <v>181</v>
      </c>
      <c r="Q102" s="25" t="s">
        <v>93</v>
      </c>
      <c r="R102" s="2">
        <f>Tabla1[[#This Row],[Origin Date ]]+3</f>
        <v>45747</v>
      </c>
      <c r="S102" s="2">
        <v>45751</v>
      </c>
      <c r="T102" s="47">
        <f t="shared" si="15"/>
        <v>4</v>
      </c>
      <c r="U102" s="27" t="str">
        <f t="shared" si="17"/>
        <v>Realizada a Tiempo</v>
      </c>
      <c r="V102" s="28" t="str">
        <f t="shared" si="9"/>
        <v>Cerrada</v>
      </c>
      <c r="W102" s="72">
        <v>0.8</v>
      </c>
      <c r="X102" s="29" t="s">
        <v>543</v>
      </c>
      <c r="Y102" s="28" t="s">
        <v>88</v>
      </c>
      <c r="Z102" s="35">
        <v>365</v>
      </c>
      <c r="AA102" s="36" t="s">
        <v>50</v>
      </c>
      <c r="AB102" s="31">
        <f>Tabla1[[#This Row],[Fecha de Entrega
End Date]]+$Z102</f>
        <v>46116</v>
      </c>
      <c r="AC102" s="48"/>
      <c r="AD102" s="70" t="s">
        <v>387</v>
      </c>
      <c r="AE102" s="37" t="s">
        <v>544</v>
      </c>
    </row>
    <row r="103" spans="1:32" ht="28.5" customHeight="1" x14ac:dyDescent="0.3">
      <c r="A103" s="2">
        <v>45744</v>
      </c>
      <c r="B103" s="111">
        <f>IF(Tabla1[[#This Row],[Origin Date ]]&lt;&gt;"",1+B102,"")</f>
        <v>99</v>
      </c>
      <c r="C103" s="22"/>
      <c r="D103" s="22"/>
      <c r="E103" s="21" t="s">
        <v>495</v>
      </c>
      <c r="F103" s="21" t="s">
        <v>518</v>
      </c>
      <c r="G103" s="22" t="s">
        <v>224</v>
      </c>
      <c r="H103" s="23" t="str">
        <f t="shared" si="16"/>
        <v>ATENDIDO</v>
      </c>
      <c r="I103" s="24" t="s">
        <v>21</v>
      </c>
      <c r="J103" s="24" t="s">
        <v>16</v>
      </c>
      <c r="K103" s="71" t="s">
        <v>116</v>
      </c>
      <c r="L103" s="24" t="s">
        <v>77</v>
      </c>
      <c r="M103" s="25" t="s">
        <v>86</v>
      </c>
      <c r="N103" s="24" t="s">
        <v>209</v>
      </c>
      <c r="O103" s="25" t="s">
        <v>208</v>
      </c>
      <c r="P103" s="112" t="s">
        <v>73</v>
      </c>
      <c r="Q103" s="25" t="s">
        <v>93</v>
      </c>
      <c r="R103" s="2">
        <f>Tabla1[[#This Row],[Origin Date ]]+3</f>
        <v>45747</v>
      </c>
      <c r="S103" s="2">
        <v>45744</v>
      </c>
      <c r="T103" s="47">
        <f>IF((R103=""),"",IF((V103="Cerrada"),(S103-R103),IF((($AA$2-R103)&lt;=0),"-",($AA$2-R103))))</f>
        <v>-3</v>
      </c>
      <c r="U103" s="27" t="str">
        <f t="shared" si="17"/>
        <v>Realizada a Tiempo</v>
      </c>
      <c r="V103" s="28" t="str">
        <f t="shared" si="9"/>
        <v>Cerrada</v>
      </c>
      <c r="W103" s="72">
        <v>1</v>
      </c>
      <c r="X103" s="29"/>
      <c r="Y103" s="28" t="s">
        <v>58</v>
      </c>
      <c r="Z103" s="35">
        <v>365</v>
      </c>
      <c r="AA103" s="36" t="s">
        <v>50</v>
      </c>
      <c r="AB103" s="31">
        <f>Tabla1[[#This Row],[Fecha de Entrega
End Date]]+$Z103</f>
        <v>46109</v>
      </c>
      <c r="AC103" s="48"/>
      <c r="AD103" s="70" t="s">
        <v>386</v>
      </c>
      <c r="AE103" s="50"/>
    </row>
    <row r="104" spans="1:32" ht="33" customHeight="1" x14ac:dyDescent="0.3">
      <c r="A104" s="2">
        <v>45744</v>
      </c>
      <c r="B104" s="111">
        <f>IF(Tabla1[[#This Row],[Origin Date ]]&lt;&gt;"",1+B103,"")</f>
        <v>100</v>
      </c>
      <c r="C104" s="22"/>
      <c r="D104" s="22"/>
      <c r="E104" s="21" t="s">
        <v>430</v>
      </c>
      <c r="F104" s="21" t="s">
        <v>399</v>
      </c>
      <c r="G104" s="22" t="s">
        <v>224</v>
      </c>
      <c r="H104" s="23" t="str">
        <f t="shared" si="16"/>
        <v>ATENDIDO</v>
      </c>
      <c r="I104" s="24" t="s">
        <v>21</v>
      </c>
      <c r="J104" s="24" t="s">
        <v>16</v>
      </c>
      <c r="K104" s="71" t="s">
        <v>116</v>
      </c>
      <c r="L104" s="24" t="s">
        <v>77</v>
      </c>
      <c r="M104" s="25" t="s">
        <v>86</v>
      </c>
      <c r="N104" s="24" t="s">
        <v>209</v>
      </c>
      <c r="O104" s="25" t="s">
        <v>208</v>
      </c>
      <c r="P104" s="112" t="s">
        <v>73</v>
      </c>
      <c r="Q104" s="25" t="s">
        <v>93</v>
      </c>
      <c r="R104" s="2">
        <f>Tabla1[[#This Row],[Origin Date ]]+3</f>
        <v>45747</v>
      </c>
      <c r="S104" s="2">
        <v>45744</v>
      </c>
      <c r="T104" s="47">
        <f>IF((R104=""),"",IF((V104="Cerrada"),(S104-R104),IF((($AA$2-R104)&lt;=0),"-",($AA$2-R104))))</f>
        <v>-3</v>
      </c>
      <c r="U104" s="27" t="str">
        <f t="shared" si="17"/>
        <v>Realizada a Tiempo</v>
      </c>
      <c r="V104" s="28" t="str">
        <f t="shared" si="9"/>
        <v>Cerrada</v>
      </c>
      <c r="W104" s="72">
        <v>1</v>
      </c>
      <c r="X104" s="29"/>
      <c r="Y104" s="28" t="s">
        <v>58</v>
      </c>
      <c r="Z104" s="35">
        <v>365</v>
      </c>
      <c r="AA104" s="36" t="s">
        <v>50</v>
      </c>
      <c r="AB104" s="31">
        <f>Tabla1[[#This Row],[Fecha de Entrega
End Date]]+$Z104</f>
        <v>46109</v>
      </c>
      <c r="AC104" s="48"/>
      <c r="AD104" s="70" t="s">
        <v>386</v>
      </c>
      <c r="AE104" s="50"/>
    </row>
    <row r="105" spans="1:32" ht="69.599999999999994" customHeight="1" x14ac:dyDescent="0.3">
      <c r="A105" s="2">
        <v>45747</v>
      </c>
      <c r="B105" s="111">
        <f>IF(Tabla1[[#This Row],[Origin Date ]]&lt;&gt;"",1+B104,"")</f>
        <v>101</v>
      </c>
      <c r="C105" s="22"/>
      <c r="D105" s="22"/>
      <c r="E105" s="21" t="s">
        <v>431</v>
      </c>
      <c r="F105" s="21" t="s">
        <v>403</v>
      </c>
      <c r="G105" s="22" t="s">
        <v>224</v>
      </c>
      <c r="H105" s="23" t="str">
        <f t="shared" si="16"/>
        <v>ATENDIDO</v>
      </c>
      <c r="I105" s="24" t="s">
        <v>22</v>
      </c>
      <c r="J105" s="24" t="s">
        <v>10</v>
      </c>
      <c r="K105" s="71" t="s">
        <v>102</v>
      </c>
      <c r="L105" s="24" t="s">
        <v>79</v>
      </c>
      <c r="M105" s="25" t="s">
        <v>86</v>
      </c>
      <c r="N105" s="24" t="s">
        <v>211</v>
      </c>
      <c r="O105" s="25" t="s">
        <v>208</v>
      </c>
      <c r="P105" s="112" t="s">
        <v>181</v>
      </c>
      <c r="Q105" s="25" t="s">
        <v>229</v>
      </c>
      <c r="R105" s="2">
        <f>Tabla1[[#This Row],[Origin Date ]]+3</f>
        <v>45750</v>
      </c>
      <c r="S105" s="2">
        <v>45747</v>
      </c>
      <c r="T105" s="47">
        <f>IF((R105=""),"",IF((V105="Cerrada"),(S105-R105),IF((($AA$2-R105)&lt;=0),"-",($AA$2-R105))))</f>
        <v>-3</v>
      </c>
      <c r="U105" s="27" t="str">
        <f t="shared" si="17"/>
        <v>Realizada a Tiempo</v>
      </c>
      <c r="V105" s="28" t="str">
        <f t="shared" si="9"/>
        <v>Cerrada</v>
      </c>
      <c r="W105" s="72">
        <v>1</v>
      </c>
      <c r="X105" s="29"/>
      <c r="Y105" s="28" t="s">
        <v>58</v>
      </c>
      <c r="Z105" s="35">
        <v>365</v>
      </c>
      <c r="AA105" s="36" t="s">
        <v>50</v>
      </c>
      <c r="AB105" s="31">
        <f>Tabla1[[#This Row],[Fecha de Entrega
End Date]]+$Z105</f>
        <v>46112</v>
      </c>
      <c r="AC105" s="48"/>
      <c r="AD105" s="70" t="s">
        <v>386</v>
      </c>
      <c r="AE105" s="50"/>
    </row>
    <row r="106" spans="1:32" ht="72.599999999999994" customHeight="1" x14ac:dyDescent="0.3">
      <c r="A106" s="2">
        <v>45747</v>
      </c>
      <c r="B106" s="111">
        <f>IF(Tabla1[[#This Row],[Origin Date ]]&lt;&gt;"",1+B105,"")</f>
        <v>102</v>
      </c>
      <c r="C106" s="22"/>
      <c r="D106" s="22"/>
      <c r="E106" s="21" t="s">
        <v>432</v>
      </c>
      <c r="F106" s="21" t="s">
        <v>404</v>
      </c>
      <c r="G106" s="22" t="s">
        <v>224</v>
      </c>
      <c r="H106" s="23" t="str">
        <f t="shared" si="16"/>
        <v>ATENDIDO</v>
      </c>
      <c r="I106" s="24" t="s">
        <v>22</v>
      </c>
      <c r="J106" s="24" t="s">
        <v>10</v>
      </c>
      <c r="K106" s="71" t="s">
        <v>102</v>
      </c>
      <c r="L106" s="24" t="s">
        <v>79</v>
      </c>
      <c r="M106" s="25" t="s">
        <v>86</v>
      </c>
      <c r="N106" s="24" t="s">
        <v>211</v>
      </c>
      <c r="O106" s="25" t="s">
        <v>208</v>
      </c>
      <c r="P106" s="112" t="s">
        <v>181</v>
      </c>
      <c r="Q106" s="25" t="s">
        <v>229</v>
      </c>
      <c r="R106" s="2">
        <f>Tabla1[[#This Row],[Origin Date ]]+3</f>
        <v>45750</v>
      </c>
      <c r="S106" s="2">
        <v>45747</v>
      </c>
      <c r="T106" s="20">
        <f t="shared" ref="T106:T122" si="18">IF((R106=""),"",IF((V106="Cerrada"),(S106-R106),IF((($AA$2-R106)&lt;=0),"-",($AA$2-R106))))</f>
        <v>-3</v>
      </c>
      <c r="U106" s="27" t="str">
        <f t="shared" si="17"/>
        <v>Realizada a Tiempo</v>
      </c>
      <c r="V106" s="28" t="str">
        <f t="shared" si="9"/>
        <v>Cerrada</v>
      </c>
      <c r="W106" s="72">
        <v>1</v>
      </c>
      <c r="X106" s="29"/>
      <c r="Y106" s="28" t="s">
        <v>58</v>
      </c>
      <c r="Z106" s="35">
        <v>365</v>
      </c>
      <c r="AA106" s="36" t="s">
        <v>50</v>
      </c>
      <c r="AB106" s="31">
        <f>Tabla1[[#This Row],[Fecha de Entrega
End Date]]+$Z106</f>
        <v>46112</v>
      </c>
      <c r="AC106" s="44"/>
      <c r="AD106" s="70" t="s">
        <v>386</v>
      </c>
      <c r="AE106" s="37"/>
    </row>
    <row r="107" spans="1:32" ht="84" customHeight="1" x14ac:dyDescent="0.3">
      <c r="A107" s="2">
        <v>45747</v>
      </c>
      <c r="B107" s="111">
        <f>IF(Tabla1[[#This Row],[Origin Date ]]&lt;&gt;"",1+B106,"")</f>
        <v>103</v>
      </c>
      <c r="C107" s="22"/>
      <c r="D107" s="22"/>
      <c r="E107" s="21" t="s">
        <v>433</v>
      </c>
      <c r="F107" s="21" t="s">
        <v>405</v>
      </c>
      <c r="G107" s="22" t="s">
        <v>224</v>
      </c>
      <c r="H107" s="23" t="str">
        <f t="shared" si="16"/>
        <v>ATENDIDO</v>
      </c>
      <c r="I107" s="24" t="s">
        <v>22</v>
      </c>
      <c r="J107" s="24" t="s">
        <v>10</v>
      </c>
      <c r="K107" s="71" t="s">
        <v>102</v>
      </c>
      <c r="L107" s="24" t="s">
        <v>79</v>
      </c>
      <c r="M107" s="25" t="s">
        <v>86</v>
      </c>
      <c r="N107" s="24" t="s">
        <v>211</v>
      </c>
      <c r="O107" s="25" t="s">
        <v>208</v>
      </c>
      <c r="P107" s="112" t="s">
        <v>181</v>
      </c>
      <c r="Q107" s="25" t="s">
        <v>229</v>
      </c>
      <c r="R107" s="2">
        <f>Tabla1[[#This Row],[Origin Date ]]+3</f>
        <v>45750</v>
      </c>
      <c r="S107" s="2">
        <v>45747</v>
      </c>
      <c r="T107" s="20">
        <f t="shared" si="18"/>
        <v>-3</v>
      </c>
      <c r="U107" s="27" t="str">
        <f t="shared" si="17"/>
        <v>Realizada a Tiempo</v>
      </c>
      <c r="V107" s="28" t="str">
        <f t="shared" si="9"/>
        <v>Cerrada</v>
      </c>
      <c r="W107" s="72">
        <v>1</v>
      </c>
      <c r="X107" s="29"/>
      <c r="Y107" s="28" t="s">
        <v>58</v>
      </c>
      <c r="Z107" s="35">
        <v>365</v>
      </c>
      <c r="AA107" s="36" t="s">
        <v>50</v>
      </c>
      <c r="AB107" s="31">
        <f>Tabla1[[#This Row],[Fecha de Entrega
End Date]]+$Z107</f>
        <v>46112</v>
      </c>
      <c r="AC107" s="44"/>
      <c r="AD107" s="70" t="s">
        <v>386</v>
      </c>
      <c r="AE107" s="37"/>
    </row>
    <row r="108" spans="1:32" ht="37.950000000000003" customHeight="1" x14ac:dyDescent="0.3">
      <c r="A108" s="2">
        <v>45748</v>
      </c>
      <c r="B108" s="111">
        <f>IF(Tabla1[[#This Row],[Origin Date ]]&lt;&gt;"",1+B107,"")</f>
        <v>104</v>
      </c>
      <c r="C108" s="22"/>
      <c r="D108" s="22"/>
      <c r="E108" s="21" t="s">
        <v>406</v>
      </c>
      <c r="F108" s="21" t="s">
        <v>406</v>
      </c>
      <c r="G108" s="22" t="s">
        <v>224</v>
      </c>
      <c r="H108" s="23" t="str">
        <f t="shared" si="16"/>
        <v>ATENDIDO</v>
      </c>
      <c r="I108" s="24" t="s">
        <v>22</v>
      </c>
      <c r="J108" s="24" t="s">
        <v>10</v>
      </c>
      <c r="K108" s="71" t="s">
        <v>124</v>
      </c>
      <c r="L108" s="24" t="s">
        <v>77</v>
      </c>
      <c r="M108" s="25" t="s">
        <v>86</v>
      </c>
      <c r="N108" s="24" t="s">
        <v>185</v>
      </c>
      <c r="O108" s="25" t="s">
        <v>208</v>
      </c>
      <c r="P108" s="112" t="s">
        <v>181</v>
      </c>
      <c r="Q108" s="25" t="s">
        <v>320</v>
      </c>
      <c r="R108" s="2">
        <f>Tabla1[[#This Row],[Origin Date ]]+3</f>
        <v>45751</v>
      </c>
      <c r="S108" s="2">
        <v>45748</v>
      </c>
      <c r="T108" s="20">
        <f t="shared" si="18"/>
        <v>-3</v>
      </c>
      <c r="U108" s="27" t="str">
        <f t="shared" si="17"/>
        <v>Realizada a Tiempo</v>
      </c>
      <c r="V108" s="28" t="str">
        <f t="shared" si="9"/>
        <v>Cerrada</v>
      </c>
      <c r="W108" s="72">
        <v>1</v>
      </c>
      <c r="X108" s="29"/>
      <c r="Y108" s="28" t="s">
        <v>58</v>
      </c>
      <c r="Z108" s="35">
        <v>365</v>
      </c>
      <c r="AA108" s="36" t="s">
        <v>50</v>
      </c>
      <c r="AB108" s="31">
        <f>Tabla1[[#This Row],[Fecha de Entrega
End Date]]+$Z108</f>
        <v>46113</v>
      </c>
      <c r="AC108" s="44"/>
      <c r="AD108" s="70" t="s">
        <v>386</v>
      </c>
      <c r="AE108" s="37"/>
    </row>
    <row r="109" spans="1:32" ht="76.95" customHeight="1" x14ac:dyDescent="0.3">
      <c r="A109" s="2">
        <v>45748</v>
      </c>
      <c r="B109" s="111">
        <f>IF(Tabla1[[#This Row],[Origin Date ]]&lt;&gt;"",1+B108,"")</f>
        <v>105</v>
      </c>
      <c r="C109" s="22"/>
      <c r="D109" s="22"/>
      <c r="E109" s="21" t="s">
        <v>496</v>
      </c>
      <c r="F109" s="21" t="s">
        <v>496</v>
      </c>
      <c r="G109" s="22" t="s">
        <v>224</v>
      </c>
      <c r="H109" s="23" t="str">
        <f t="shared" si="16"/>
        <v>ATENDIDO</v>
      </c>
      <c r="I109" s="24" t="s">
        <v>22</v>
      </c>
      <c r="J109" s="24" t="s">
        <v>10</v>
      </c>
      <c r="K109" s="71" t="s">
        <v>124</v>
      </c>
      <c r="L109" s="24" t="s">
        <v>77</v>
      </c>
      <c r="M109" s="25" t="s">
        <v>86</v>
      </c>
      <c r="N109" s="24" t="s">
        <v>185</v>
      </c>
      <c r="O109" s="25" t="s">
        <v>208</v>
      </c>
      <c r="P109" s="112" t="s">
        <v>181</v>
      </c>
      <c r="Q109" s="25" t="s">
        <v>320</v>
      </c>
      <c r="R109" s="2">
        <f>Tabla1[[#This Row],[Origin Date ]]+3</f>
        <v>45751</v>
      </c>
      <c r="S109" s="2">
        <v>45748</v>
      </c>
      <c r="T109" s="20">
        <f t="shared" si="18"/>
        <v>-3</v>
      </c>
      <c r="U109" s="27" t="str">
        <f t="shared" si="17"/>
        <v>Realizada a Tiempo</v>
      </c>
      <c r="V109" s="28" t="str">
        <f t="shared" si="9"/>
        <v>Cerrada</v>
      </c>
      <c r="W109" s="72">
        <v>1</v>
      </c>
      <c r="X109" s="29"/>
      <c r="Y109" s="28" t="s">
        <v>58</v>
      </c>
      <c r="Z109" s="35">
        <v>365</v>
      </c>
      <c r="AA109" s="36" t="s">
        <v>50</v>
      </c>
      <c r="AB109" s="31">
        <f>Tabla1[[#This Row],[Fecha de Entrega
End Date]]+$Z109</f>
        <v>46113</v>
      </c>
      <c r="AC109" s="44"/>
      <c r="AD109" s="70" t="s">
        <v>386</v>
      </c>
      <c r="AE109" s="37" t="s">
        <v>485</v>
      </c>
    </row>
    <row r="110" spans="1:32" s="125" customFormat="1" ht="41.25" customHeight="1" x14ac:dyDescent="0.3">
      <c r="A110" s="2">
        <v>45786</v>
      </c>
      <c r="B110" s="111">
        <f>IF(Tabla1[[#This Row],[Origin Date ]]&lt;&gt;"",1+B109,"")</f>
        <v>106</v>
      </c>
      <c r="C110" s="22"/>
      <c r="D110" s="22"/>
      <c r="E110" s="21" t="s">
        <v>497</v>
      </c>
      <c r="F110" s="21" t="s">
        <v>519</v>
      </c>
      <c r="G110" s="22" t="s">
        <v>224</v>
      </c>
      <c r="H110" s="23" t="str">
        <f t="shared" si="16"/>
        <v>ATENDIDO</v>
      </c>
      <c r="I110" s="24" t="s">
        <v>22</v>
      </c>
      <c r="J110" s="24" t="s">
        <v>10</v>
      </c>
      <c r="K110" s="71" t="s">
        <v>116</v>
      </c>
      <c r="L110" s="24" t="s">
        <v>77</v>
      </c>
      <c r="M110" s="25" t="s">
        <v>86</v>
      </c>
      <c r="N110" s="24" t="s">
        <v>209</v>
      </c>
      <c r="O110" s="25" t="s">
        <v>208</v>
      </c>
      <c r="P110" s="112" t="s">
        <v>73</v>
      </c>
      <c r="Q110" s="25" t="s">
        <v>229</v>
      </c>
      <c r="R110" s="2">
        <f>Tabla1[[#This Row],[Origin Date ]]+3</f>
        <v>45789</v>
      </c>
      <c r="S110" s="2">
        <v>45789</v>
      </c>
      <c r="T110" s="23">
        <f t="shared" si="18"/>
        <v>0</v>
      </c>
      <c r="U110" s="27" t="str">
        <f t="shared" si="17"/>
        <v>Realizada a Tiempo</v>
      </c>
      <c r="V110" s="24" t="str">
        <f t="shared" si="9"/>
        <v>Cerrada</v>
      </c>
      <c r="W110" s="72">
        <v>0.8</v>
      </c>
      <c r="X110" s="29" t="s">
        <v>667</v>
      </c>
      <c r="Y110" s="28" t="s">
        <v>58</v>
      </c>
      <c r="Z110" s="35">
        <v>365</v>
      </c>
      <c r="AA110" s="36" t="s">
        <v>50</v>
      </c>
      <c r="AB110" s="52">
        <f>Tabla1[[#This Row],[Fecha de Entrega
End Date]]+$Z110</f>
        <v>46154</v>
      </c>
      <c r="AC110" s="53"/>
      <c r="AD110" s="70" t="s">
        <v>385</v>
      </c>
      <c r="AE110" s="37" t="s">
        <v>726</v>
      </c>
      <c r="AF110" s="124"/>
    </row>
    <row r="111" spans="1:32" s="125" customFormat="1" ht="30.75" customHeight="1" x14ac:dyDescent="0.3">
      <c r="A111" s="2">
        <v>45749</v>
      </c>
      <c r="B111" s="111">
        <f>IF(Tabla1[[#This Row],[Origin Date ]]&lt;&gt;"",1+B110,"")</f>
        <v>107</v>
      </c>
      <c r="C111" s="22"/>
      <c r="D111" s="22"/>
      <c r="E111" s="21" t="s">
        <v>434</v>
      </c>
      <c r="F111" s="21" t="s">
        <v>407</v>
      </c>
      <c r="G111" s="22" t="s">
        <v>224</v>
      </c>
      <c r="H111" s="23" t="str">
        <f t="shared" si="16"/>
        <v>ATENDIDO</v>
      </c>
      <c r="I111" s="24" t="s">
        <v>22</v>
      </c>
      <c r="J111" s="24" t="s">
        <v>10</v>
      </c>
      <c r="K111" s="71" t="s">
        <v>223</v>
      </c>
      <c r="L111" s="24" t="s">
        <v>77</v>
      </c>
      <c r="M111" s="25" t="s">
        <v>86</v>
      </c>
      <c r="N111" s="24" t="s">
        <v>209</v>
      </c>
      <c r="O111" s="25" t="s">
        <v>208</v>
      </c>
      <c r="P111" s="112" t="s">
        <v>73</v>
      </c>
      <c r="Q111" s="25" t="s">
        <v>229</v>
      </c>
      <c r="R111" s="2">
        <f>Tabla1[[#This Row],[Origin Date ]]+3</f>
        <v>45752</v>
      </c>
      <c r="S111" s="2">
        <v>45749</v>
      </c>
      <c r="T111" s="23">
        <f t="shared" si="18"/>
        <v>-3</v>
      </c>
      <c r="U111" s="27" t="str">
        <f t="shared" si="17"/>
        <v>Realizada a Tiempo</v>
      </c>
      <c r="V111" s="24" t="str">
        <f t="shared" si="9"/>
        <v>Cerrada</v>
      </c>
      <c r="W111" s="72">
        <v>1</v>
      </c>
      <c r="X111" s="29" t="s">
        <v>593</v>
      </c>
      <c r="Y111" s="28" t="s">
        <v>58</v>
      </c>
      <c r="Z111" s="35">
        <v>365</v>
      </c>
      <c r="AA111" s="36" t="s">
        <v>50</v>
      </c>
      <c r="AB111" s="52">
        <f>Tabla1[[#This Row],[Fecha de Entrega
End Date]]+$Z111</f>
        <v>46114</v>
      </c>
      <c r="AC111" s="84" t="s">
        <v>594</v>
      </c>
      <c r="AD111" s="70" t="s">
        <v>386</v>
      </c>
      <c r="AE111" s="32"/>
      <c r="AF111" s="124"/>
    </row>
    <row r="112" spans="1:32" s="125" customFormat="1" ht="45.75" customHeight="1" x14ac:dyDescent="0.3">
      <c r="A112" s="2">
        <v>45749</v>
      </c>
      <c r="B112" s="111">
        <f>IF(Tabla1[[#This Row],[Origin Date ]]&lt;&gt;"",1+B111,"")</f>
        <v>108</v>
      </c>
      <c r="C112" s="22"/>
      <c r="D112" s="22"/>
      <c r="E112" s="21" t="s">
        <v>435</v>
      </c>
      <c r="F112" s="21" t="s">
        <v>408</v>
      </c>
      <c r="G112" s="22" t="s">
        <v>224</v>
      </c>
      <c r="H112" s="23" t="str">
        <f t="shared" si="16"/>
        <v>ATENDIDO</v>
      </c>
      <c r="I112" s="24" t="s">
        <v>22</v>
      </c>
      <c r="J112" s="24" t="s">
        <v>10</v>
      </c>
      <c r="K112" s="71" t="s">
        <v>124</v>
      </c>
      <c r="L112" s="24" t="s">
        <v>77</v>
      </c>
      <c r="M112" s="25" t="s">
        <v>86</v>
      </c>
      <c r="N112" s="24" t="s">
        <v>185</v>
      </c>
      <c r="O112" s="25" t="s">
        <v>208</v>
      </c>
      <c r="P112" s="112" t="s">
        <v>181</v>
      </c>
      <c r="Q112" s="25" t="s">
        <v>320</v>
      </c>
      <c r="R112" s="2">
        <f>Tabla1[[#This Row],[Origin Date ]]+3</f>
        <v>45752</v>
      </c>
      <c r="S112" s="2">
        <v>45750</v>
      </c>
      <c r="T112" s="23">
        <f t="shared" si="18"/>
        <v>-2</v>
      </c>
      <c r="U112" s="27" t="str">
        <f t="shared" si="17"/>
        <v>Realizada a Tiempo</v>
      </c>
      <c r="V112" s="24" t="str">
        <f t="shared" si="9"/>
        <v>Cerrada</v>
      </c>
      <c r="W112" s="72">
        <v>1</v>
      </c>
      <c r="X112" s="29"/>
      <c r="Y112" s="28" t="s">
        <v>58</v>
      </c>
      <c r="Z112" s="35">
        <v>365</v>
      </c>
      <c r="AA112" s="36" t="s">
        <v>50</v>
      </c>
      <c r="AB112" s="52">
        <f>Tabla1[[#This Row],[Fecha de Entrega
End Date]]+$Z112</f>
        <v>46115</v>
      </c>
      <c r="AC112" s="53"/>
      <c r="AD112" s="70" t="s">
        <v>386</v>
      </c>
      <c r="AE112" s="32"/>
      <c r="AF112" s="124"/>
    </row>
    <row r="113" spans="1:32" s="125" customFormat="1" ht="45" customHeight="1" x14ac:dyDescent="0.3">
      <c r="A113" s="2">
        <v>45749</v>
      </c>
      <c r="B113" s="111">
        <f>IF(Tabla1[[#This Row],[Origin Date ]]&lt;&gt;"",1+B112,"")</f>
        <v>109</v>
      </c>
      <c r="C113" s="22"/>
      <c r="D113" s="22"/>
      <c r="E113" s="21" t="s">
        <v>498</v>
      </c>
      <c r="F113" s="21" t="s">
        <v>520</v>
      </c>
      <c r="G113" s="22" t="s">
        <v>501</v>
      </c>
      <c r="H113" s="23" t="str">
        <f t="shared" si="16"/>
        <v>ALTA</v>
      </c>
      <c r="I113" s="24" t="s">
        <v>22</v>
      </c>
      <c r="J113" s="24" t="s">
        <v>10</v>
      </c>
      <c r="K113" s="71" t="s">
        <v>124</v>
      </c>
      <c r="L113" s="24" t="s">
        <v>77</v>
      </c>
      <c r="M113" s="25" t="s">
        <v>86</v>
      </c>
      <c r="N113" s="24" t="s">
        <v>185</v>
      </c>
      <c r="O113" s="25" t="s">
        <v>208</v>
      </c>
      <c r="P113" s="112" t="s">
        <v>181</v>
      </c>
      <c r="Q113" s="25" t="s">
        <v>181</v>
      </c>
      <c r="R113" s="2">
        <f>Tabla1[[#This Row],[Origin Date ]]+3</f>
        <v>45752</v>
      </c>
      <c r="S113" s="2"/>
      <c r="T113" s="23" t="str">
        <f t="shared" si="18"/>
        <v>-</v>
      </c>
      <c r="U113" s="27" t="str">
        <f t="shared" ca="1" si="17"/>
        <v>Atrasada</v>
      </c>
      <c r="V113" s="24" t="str">
        <f t="shared" si="9"/>
        <v>Abierta</v>
      </c>
      <c r="W113" s="72">
        <v>0.2</v>
      </c>
      <c r="X113" s="29"/>
      <c r="Y113" s="28" t="s">
        <v>58</v>
      </c>
      <c r="Z113" s="35">
        <v>365</v>
      </c>
      <c r="AA113" s="36" t="s">
        <v>49</v>
      </c>
      <c r="AB113" s="52">
        <f>Tabla1[[#This Row],[Fecha de Entrega
End Date]]+$Z113</f>
        <v>365</v>
      </c>
      <c r="AC113" s="53"/>
      <c r="AD113" s="70" t="s">
        <v>585</v>
      </c>
      <c r="AE113" s="32"/>
      <c r="AF113" s="124"/>
    </row>
    <row r="114" spans="1:32" s="125" customFormat="1" ht="45" customHeight="1" x14ac:dyDescent="0.3">
      <c r="A114" s="2">
        <v>45749</v>
      </c>
      <c r="B114" s="111">
        <f>IF(Tabla1[[#This Row],[Origin Date ]]&lt;&gt;"",1+B113,"")</f>
        <v>110</v>
      </c>
      <c r="C114" s="22"/>
      <c r="D114" s="22"/>
      <c r="E114" s="21" t="s">
        <v>436</v>
      </c>
      <c r="F114" s="21" t="s">
        <v>409</v>
      </c>
      <c r="G114" s="22" t="s">
        <v>502</v>
      </c>
      <c r="H114" s="23" t="str">
        <f t="shared" si="16"/>
        <v>ALTA</v>
      </c>
      <c r="I114" s="24" t="s">
        <v>13</v>
      </c>
      <c r="J114" s="24" t="s">
        <v>10</v>
      </c>
      <c r="K114" s="71" t="s">
        <v>223</v>
      </c>
      <c r="L114" s="24" t="s">
        <v>77</v>
      </c>
      <c r="M114" s="25" t="s">
        <v>86</v>
      </c>
      <c r="N114" s="24" t="s">
        <v>209</v>
      </c>
      <c r="O114" s="25" t="s">
        <v>208</v>
      </c>
      <c r="P114" s="112" t="s">
        <v>73</v>
      </c>
      <c r="Q114" s="25" t="s">
        <v>182</v>
      </c>
      <c r="R114" s="2">
        <f>Tabla1[[#This Row],[Origin Date ]]+3</f>
        <v>45752</v>
      </c>
      <c r="S114" s="2"/>
      <c r="T114" s="23" t="str">
        <f t="shared" si="18"/>
        <v>-</v>
      </c>
      <c r="U114" s="27" t="str">
        <f t="shared" ca="1" si="17"/>
        <v>Atrasada</v>
      </c>
      <c r="V114" s="24" t="str">
        <f t="shared" si="9"/>
        <v>Abierta</v>
      </c>
      <c r="W114" s="72">
        <v>0.2</v>
      </c>
      <c r="X114" s="29"/>
      <c r="Y114" s="28" t="s">
        <v>58</v>
      </c>
      <c r="Z114" s="35">
        <v>365</v>
      </c>
      <c r="AA114" s="36" t="s">
        <v>49</v>
      </c>
      <c r="AB114" s="52">
        <f>Tabla1[[#This Row],[Fecha de Entrega
End Date]]+$Z114</f>
        <v>365</v>
      </c>
      <c r="AC114" s="53"/>
      <c r="AD114" s="70" t="s">
        <v>585</v>
      </c>
      <c r="AE114" s="32"/>
      <c r="AF114" s="124"/>
    </row>
    <row r="115" spans="1:32" s="125" customFormat="1" ht="45" customHeight="1" x14ac:dyDescent="0.3">
      <c r="A115" s="2">
        <v>45749</v>
      </c>
      <c r="B115" s="111">
        <f>IF(Tabla1[[#This Row],[Origin Date ]]&lt;&gt;"",1+B114,"")</f>
        <v>111</v>
      </c>
      <c r="C115" s="22"/>
      <c r="D115" s="22"/>
      <c r="E115" s="21" t="s">
        <v>437</v>
      </c>
      <c r="F115" s="21" t="s">
        <v>410</v>
      </c>
      <c r="G115" s="22" t="s">
        <v>224</v>
      </c>
      <c r="H115" s="23" t="str">
        <f t="shared" si="16"/>
        <v>ATENDIDO</v>
      </c>
      <c r="I115" s="24" t="s">
        <v>22</v>
      </c>
      <c r="J115" s="24" t="s">
        <v>10</v>
      </c>
      <c r="K115" s="71" t="s">
        <v>124</v>
      </c>
      <c r="L115" s="24" t="s">
        <v>77</v>
      </c>
      <c r="M115" s="25" t="s">
        <v>86</v>
      </c>
      <c r="N115" s="24" t="s">
        <v>185</v>
      </c>
      <c r="O115" s="25" t="s">
        <v>208</v>
      </c>
      <c r="P115" s="112" t="s">
        <v>181</v>
      </c>
      <c r="Q115" s="25" t="s">
        <v>229</v>
      </c>
      <c r="R115" s="2">
        <f>Tabla1[[#This Row],[Origin Date ]]+3</f>
        <v>45752</v>
      </c>
      <c r="S115" s="2">
        <v>45755</v>
      </c>
      <c r="T115" s="23">
        <f t="shared" si="18"/>
        <v>3</v>
      </c>
      <c r="U115" s="27" t="str">
        <f t="shared" si="17"/>
        <v>Realizada a Tiempo</v>
      </c>
      <c r="V115" s="24" t="str">
        <f t="shared" si="9"/>
        <v>Cerrada</v>
      </c>
      <c r="W115" s="72">
        <v>0.8</v>
      </c>
      <c r="X115" s="29" t="s">
        <v>546</v>
      </c>
      <c r="Y115" s="28" t="s">
        <v>58</v>
      </c>
      <c r="Z115" s="35">
        <v>365</v>
      </c>
      <c r="AA115" s="36" t="s">
        <v>50</v>
      </c>
      <c r="AB115" s="52">
        <f>Tabla1[[#This Row],[Fecha de Entrega
End Date]]+$Z115</f>
        <v>46120</v>
      </c>
      <c r="AC115" s="53"/>
      <c r="AD115" s="70" t="s">
        <v>387</v>
      </c>
      <c r="AE115" s="32"/>
      <c r="AF115" s="124"/>
    </row>
    <row r="116" spans="1:32" s="125" customFormat="1" ht="45" customHeight="1" x14ac:dyDescent="0.3">
      <c r="A116" s="2">
        <v>45748</v>
      </c>
      <c r="B116" s="111">
        <f>IF(Tabla1[[#This Row],[Origin Date ]]&lt;&gt;"",1+B115,"")</f>
        <v>112</v>
      </c>
      <c r="C116" s="22"/>
      <c r="D116" s="22"/>
      <c r="E116" s="21" t="s">
        <v>438</v>
      </c>
      <c r="F116" s="21" t="s">
        <v>411</v>
      </c>
      <c r="G116" s="22" t="s">
        <v>502</v>
      </c>
      <c r="H116" s="23" t="str">
        <f t="shared" si="16"/>
        <v>ATENDIDO</v>
      </c>
      <c r="I116" s="24" t="s">
        <v>97</v>
      </c>
      <c r="J116" s="24" t="s">
        <v>10</v>
      </c>
      <c r="K116" s="71" t="s">
        <v>412</v>
      </c>
      <c r="L116" s="24" t="s">
        <v>77</v>
      </c>
      <c r="M116" s="25" t="s">
        <v>86</v>
      </c>
      <c r="N116" s="24" t="s">
        <v>185</v>
      </c>
      <c r="O116" s="25" t="s">
        <v>208</v>
      </c>
      <c r="P116" s="112" t="s">
        <v>413</v>
      </c>
      <c r="Q116" s="25" t="s">
        <v>320</v>
      </c>
      <c r="R116" s="2">
        <f>Tabla1[[#This Row],[Origin Date ]]+3</f>
        <v>45751</v>
      </c>
      <c r="S116" s="2">
        <v>45752</v>
      </c>
      <c r="T116" s="23">
        <f t="shared" si="18"/>
        <v>1</v>
      </c>
      <c r="U116" s="27" t="str">
        <f t="shared" si="17"/>
        <v>Realizada a Tiempo</v>
      </c>
      <c r="V116" s="24" t="str">
        <f t="shared" si="9"/>
        <v>Cerrada</v>
      </c>
      <c r="W116" s="72">
        <v>0.9</v>
      </c>
      <c r="X116" s="29" t="s">
        <v>531</v>
      </c>
      <c r="Y116" s="28" t="s">
        <v>58</v>
      </c>
      <c r="Z116" s="35">
        <v>365</v>
      </c>
      <c r="AA116" s="36" t="s">
        <v>50</v>
      </c>
      <c r="AB116" s="52">
        <f>Tabla1[[#This Row],[Fecha de Entrega
End Date]]+$Z116</f>
        <v>46117</v>
      </c>
      <c r="AC116" s="53"/>
      <c r="AD116" s="70" t="s">
        <v>387</v>
      </c>
      <c r="AE116" s="32" t="s">
        <v>532</v>
      </c>
      <c r="AF116" s="124"/>
    </row>
    <row r="117" spans="1:32" s="125" customFormat="1" ht="45" customHeight="1" x14ac:dyDescent="0.3">
      <c r="A117" s="2">
        <v>45749</v>
      </c>
      <c r="B117" s="111">
        <f>IF(Tabla1[[#This Row],[Origin Date ]]&lt;&gt;"",1+B116,"")</f>
        <v>113</v>
      </c>
      <c r="C117" s="22"/>
      <c r="D117" s="22"/>
      <c r="E117" s="21" t="s">
        <v>439</v>
      </c>
      <c r="F117" s="21" t="s">
        <v>414</v>
      </c>
      <c r="G117" s="22" t="s">
        <v>224</v>
      </c>
      <c r="H117" s="23" t="str">
        <f t="shared" si="16"/>
        <v>ATENDIDO</v>
      </c>
      <c r="I117" s="24" t="s">
        <v>22</v>
      </c>
      <c r="J117" s="24" t="s">
        <v>10</v>
      </c>
      <c r="K117" s="71" t="s">
        <v>124</v>
      </c>
      <c r="L117" s="24" t="s">
        <v>77</v>
      </c>
      <c r="M117" s="25" t="s">
        <v>86</v>
      </c>
      <c r="N117" s="24" t="s">
        <v>185</v>
      </c>
      <c r="O117" s="25" t="s">
        <v>208</v>
      </c>
      <c r="P117" s="112" t="s">
        <v>293</v>
      </c>
      <c r="Q117" s="25" t="s">
        <v>229</v>
      </c>
      <c r="R117" s="2">
        <f>Tabla1[[#This Row],[Origin Date ]]+3</f>
        <v>45752</v>
      </c>
      <c r="S117" s="2">
        <v>45749</v>
      </c>
      <c r="T117" s="23">
        <f t="shared" si="18"/>
        <v>-3</v>
      </c>
      <c r="U117" s="27" t="str">
        <f t="shared" si="17"/>
        <v>Realizada a Tiempo</v>
      </c>
      <c r="V117" s="24" t="str">
        <f t="shared" ref="V117:V122" si="19">IF((R117=""),"",IF((S117=""),"Abierta","Cerrada"))</f>
        <v>Cerrada</v>
      </c>
      <c r="W117" s="72">
        <v>1</v>
      </c>
      <c r="X117" s="29"/>
      <c r="Y117" s="28" t="s">
        <v>58</v>
      </c>
      <c r="Z117" s="35">
        <v>365</v>
      </c>
      <c r="AA117" s="36" t="s">
        <v>50</v>
      </c>
      <c r="AB117" s="52">
        <f>Tabla1[[#This Row],[Fecha de Entrega
End Date]]+$Z117</f>
        <v>46114</v>
      </c>
      <c r="AC117" s="53"/>
      <c r="AD117" s="70" t="s">
        <v>386</v>
      </c>
      <c r="AE117" s="32"/>
      <c r="AF117" s="124"/>
    </row>
    <row r="118" spans="1:32" s="125" customFormat="1" ht="45" customHeight="1" x14ac:dyDescent="0.3">
      <c r="A118" s="2">
        <v>45749</v>
      </c>
      <c r="B118" s="111">
        <f>IF(Tabla1[[#This Row],[Origin Date ]]&lt;&gt;"",1+B117,"")</f>
        <v>114</v>
      </c>
      <c r="C118" s="22"/>
      <c r="D118" s="22"/>
      <c r="E118" s="21" t="s">
        <v>440</v>
      </c>
      <c r="F118" s="21" t="s">
        <v>416</v>
      </c>
      <c r="G118" s="22" t="s">
        <v>224</v>
      </c>
      <c r="H118" s="23" t="str">
        <f t="shared" si="16"/>
        <v>ATENDIDO</v>
      </c>
      <c r="I118" s="24" t="s">
        <v>22</v>
      </c>
      <c r="J118" s="24" t="s">
        <v>10</v>
      </c>
      <c r="K118" s="71" t="s">
        <v>223</v>
      </c>
      <c r="L118" s="24" t="s">
        <v>77</v>
      </c>
      <c r="M118" s="25" t="s">
        <v>86</v>
      </c>
      <c r="N118" s="24" t="s">
        <v>209</v>
      </c>
      <c r="O118" s="25" t="s">
        <v>208</v>
      </c>
      <c r="P118" s="112" t="s">
        <v>73</v>
      </c>
      <c r="Q118" s="25" t="s">
        <v>93</v>
      </c>
      <c r="R118" s="2">
        <f>Tabla1[[#This Row],[Origin Date ]]+3</f>
        <v>45752</v>
      </c>
      <c r="S118" s="2">
        <v>45749</v>
      </c>
      <c r="T118" s="23">
        <f t="shared" si="18"/>
        <v>-3</v>
      </c>
      <c r="U118" s="27" t="str">
        <f t="shared" si="17"/>
        <v>Realizada a Tiempo</v>
      </c>
      <c r="V118" s="24" t="str">
        <f t="shared" si="19"/>
        <v>Cerrada</v>
      </c>
      <c r="W118" s="72">
        <v>1</v>
      </c>
      <c r="X118" s="29" t="s">
        <v>447</v>
      </c>
      <c r="Y118" s="28" t="s">
        <v>58</v>
      </c>
      <c r="Z118" s="35">
        <v>365</v>
      </c>
      <c r="AA118" s="36" t="s">
        <v>50</v>
      </c>
      <c r="AB118" s="52">
        <f>Tabla1[[#This Row],[Fecha de Entrega
End Date]]+$Z118</f>
        <v>46114</v>
      </c>
      <c r="AC118" s="53"/>
      <c r="AD118" s="70" t="s">
        <v>386</v>
      </c>
      <c r="AE118" s="32"/>
      <c r="AF118" s="124"/>
    </row>
    <row r="119" spans="1:32" s="125" customFormat="1" ht="45" customHeight="1" x14ac:dyDescent="0.3">
      <c r="A119" s="2">
        <v>45748</v>
      </c>
      <c r="B119" s="111">
        <f>IF(Tabla1[[#This Row],[Origin Date ]]&lt;&gt;"",1+B118,"")</f>
        <v>115</v>
      </c>
      <c r="C119" s="22"/>
      <c r="D119" s="22"/>
      <c r="E119" s="21" t="s">
        <v>441</v>
      </c>
      <c r="F119" s="21" t="s">
        <v>415</v>
      </c>
      <c r="G119" s="22" t="s">
        <v>224</v>
      </c>
      <c r="H119" s="23" t="str">
        <f t="shared" si="16"/>
        <v>ATENDIDO</v>
      </c>
      <c r="I119" s="24" t="s">
        <v>22</v>
      </c>
      <c r="J119" s="24" t="s">
        <v>10</v>
      </c>
      <c r="K119" s="71" t="s">
        <v>116</v>
      </c>
      <c r="L119" s="24" t="s">
        <v>77</v>
      </c>
      <c r="M119" s="25" t="s">
        <v>86</v>
      </c>
      <c r="N119" s="24" t="s">
        <v>209</v>
      </c>
      <c r="O119" s="25" t="s">
        <v>208</v>
      </c>
      <c r="P119" s="112" t="s">
        <v>73</v>
      </c>
      <c r="Q119" s="25" t="s">
        <v>93</v>
      </c>
      <c r="R119" s="2">
        <f>Tabla1[[#This Row],[Origin Date ]]+3</f>
        <v>45751</v>
      </c>
      <c r="S119" s="2">
        <v>45749</v>
      </c>
      <c r="T119" s="23">
        <f t="shared" si="18"/>
        <v>-2</v>
      </c>
      <c r="U119" s="27" t="str">
        <f t="shared" si="17"/>
        <v>Realizada a Tiempo</v>
      </c>
      <c r="V119" s="24" t="str">
        <f t="shared" si="19"/>
        <v>Cerrada</v>
      </c>
      <c r="W119" s="72">
        <v>1</v>
      </c>
      <c r="X119" s="29" t="s">
        <v>606</v>
      </c>
      <c r="Y119" s="28" t="s">
        <v>58</v>
      </c>
      <c r="Z119" s="35">
        <v>365</v>
      </c>
      <c r="AA119" s="36" t="s">
        <v>50</v>
      </c>
      <c r="AB119" s="52">
        <f>Tabla1[[#This Row],[Fecha de Entrega
End Date]]+$Z119</f>
        <v>46114</v>
      </c>
      <c r="AC119" s="84" t="s">
        <v>627</v>
      </c>
      <c r="AD119" s="70" t="s">
        <v>386</v>
      </c>
      <c r="AE119" s="32" t="s">
        <v>628</v>
      </c>
      <c r="AF119" s="124"/>
    </row>
    <row r="120" spans="1:32" s="125" customFormat="1" ht="45" customHeight="1" x14ac:dyDescent="0.3">
      <c r="A120" s="2">
        <v>45749</v>
      </c>
      <c r="B120" s="111">
        <f>IF(Tabla1[[#This Row],[Origin Date ]]&lt;&gt;"",1+B119,"")</f>
        <v>116</v>
      </c>
      <c r="C120" s="22"/>
      <c r="D120" s="22"/>
      <c r="E120" s="21" t="s">
        <v>442</v>
      </c>
      <c r="F120" s="21" t="s">
        <v>417</v>
      </c>
      <c r="G120" s="22" t="s">
        <v>224</v>
      </c>
      <c r="H120" s="23" t="str">
        <f t="shared" si="16"/>
        <v>ATENDIDO</v>
      </c>
      <c r="I120" s="24" t="s">
        <v>22</v>
      </c>
      <c r="J120" s="24" t="s">
        <v>10</v>
      </c>
      <c r="K120" s="71" t="s">
        <v>116</v>
      </c>
      <c r="L120" s="24" t="s">
        <v>77</v>
      </c>
      <c r="M120" s="25" t="s">
        <v>86</v>
      </c>
      <c r="N120" s="24" t="s">
        <v>209</v>
      </c>
      <c r="O120" s="25" t="s">
        <v>208</v>
      </c>
      <c r="P120" s="112" t="s">
        <v>73</v>
      </c>
      <c r="Q120" s="25" t="s">
        <v>229</v>
      </c>
      <c r="R120" s="2">
        <f>Tabla1[[#This Row],[Origin Date ]]+3</f>
        <v>45752</v>
      </c>
      <c r="S120" s="2">
        <v>45752</v>
      </c>
      <c r="T120" s="23">
        <f t="shared" si="18"/>
        <v>0</v>
      </c>
      <c r="U120" s="27" t="str">
        <f t="shared" si="17"/>
        <v>Realizada a Tiempo</v>
      </c>
      <c r="V120" s="24" t="str">
        <f t="shared" si="19"/>
        <v>Cerrada</v>
      </c>
      <c r="W120" s="51">
        <v>0.8</v>
      </c>
      <c r="X120" s="54" t="s">
        <v>530</v>
      </c>
      <c r="Y120" s="28" t="s">
        <v>58</v>
      </c>
      <c r="Z120" s="35">
        <v>365</v>
      </c>
      <c r="AA120" s="36" t="s">
        <v>50</v>
      </c>
      <c r="AB120" s="52">
        <f>Tabla1[[#This Row],[Fecha de Entrega
End Date]]+$Z120</f>
        <v>46117</v>
      </c>
      <c r="AC120" s="53"/>
      <c r="AD120" s="70" t="s">
        <v>386</v>
      </c>
      <c r="AE120" s="32"/>
      <c r="AF120" s="124"/>
    </row>
    <row r="121" spans="1:32" s="125" customFormat="1" ht="45" customHeight="1" x14ac:dyDescent="0.3">
      <c r="A121" s="2">
        <v>45749</v>
      </c>
      <c r="B121" s="111">
        <f>IF(Tabla1[[#This Row],[Origin Date ]]&lt;&gt;"",1+B120,"")</f>
        <v>117</v>
      </c>
      <c r="C121" s="22"/>
      <c r="D121" s="22"/>
      <c r="E121" s="21" t="s">
        <v>444</v>
      </c>
      <c r="F121" s="21" t="s">
        <v>418</v>
      </c>
      <c r="G121" s="22" t="s">
        <v>503</v>
      </c>
      <c r="H121" s="23" t="str">
        <f t="shared" si="16"/>
        <v>ATENDIDO</v>
      </c>
      <c r="I121" s="24" t="s">
        <v>21</v>
      </c>
      <c r="J121" s="24" t="s">
        <v>10</v>
      </c>
      <c r="K121" s="71" t="s">
        <v>116</v>
      </c>
      <c r="L121" s="24" t="s">
        <v>77</v>
      </c>
      <c r="M121" s="25" t="s">
        <v>86</v>
      </c>
      <c r="N121" s="24" t="s">
        <v>209</v>
      </c>
      <c r="O121" s="25" t="s">
        <v>208</v>
      </c>
      <c r="P121" s="112" t="s">
        <v>463</v>
      </c>
      <c r="Q121" s="25" t="s">
        <v>320</v>
      </c>
      <c r="R121" s="2">
        <f>Tabla1[[#This Row],[Origin Date ]]+3</f>
        <v>45752</v>
      </c>
      <c r="S121" s="2">
        <v>45755</v>
      </c>
      <c r="T121" s="23">
        <f t="shared" si="18"/>
        <v>3</v>
      </c>
      <c r="U121" s="27" t="str">
        <f t="shared" si="17"/>
        <v>Realizada a Tiempo</v>
      </c>
      <c r="V121" s="24" t="str">
        <f t="shared" si="19"/>
        <v>Cerrada</v>
      </c>
      <c r="W121" s="51">
        <v>0.8</v>
      </c>
      <c r="X121" s="54"/>
      <c r="Y121" s="28" t="s">
        <v>58</v>
      </c>
      <c r="Z121" s="35">
        <v>365</v>
      </c>
      <c r="AA121" s="36" t="s">
        <v>50</v>
      </c>
      <c r="AB121" s="52">
        <f>Tabla1[[#This Row],[Fecha de Entrega
End Date]]+$Z121</f>
        <v>46120</v>
      </c>
      <c r="AC121" s="53"/>
      <c r="AD121" s="70" t="s">
        <v>387</v>
      </c>
      <c r="AE121" s="32" t="s">
        <v>547</v>
      </c>
      <c r="AF121" s="124"/>
    </row>
    <row r="122" spans="1:32" s="125" customFormat="1" ht="45" customHeight="1" x14ac:dyDescent="0.3">
      <c r="A122" s="2">
        <v>45749</v>
      </c>
      <c r="B122" s="111">
        <f>IF(Tabla1[[#This Row],[Origin Date ]]&lt;&gt;"",1+B121,"")</f>
        <v>118</v>
      </c>
      <c r="C122" s="22"/>
      <c r="D122" s="22"/>
      <c r="E122" s="21" t="s">
        <v>443</v>
      </c>
      <c r="F122" s="21" t="s">
        <v>419</v>
      </c>
      <c r="G122" s="22" t="s">
        <v>224</v>
      </c>
      <c r="H122" s="23" t="str">
        <f t="shared" si="16"/>
        <v>ATENDIDO</v>
      </c>
      <c r="I122" s="24" t="s">
        <v>22</v>
      </c>
      <c r="J122" s="24" t="s">
        <v>10</v>
      </c>
      <c r="K122" s="71" t="s">
        <v>116</v>
      </c>
      <c r="L122" s="24" t="s">
        <v>77</v>
      </c>
      <c r="M122" s="25" t="s">
        <v>86</v>
      </c>
      <c r="N122" s="24" t="s">
        <v>209</v>
      </c>
      <c r="O122" s="25" t="s">
        <v>208</v>
      </c>
      <c r="P122" s="112" t="s">
        <v>73</v>
      </c>
      <c r="Q122" s="25" t="s">
        <v>320</v>
      </c>
      <c r="R122" s="2">
        <f>Tabla1[[#This Row],[Origin Date ]]+3</f>
        <v>45752</v>
      </c>
      <c r="S122" s="2">
        <v>45756</v>
      </c>
      <c r="T122" s="23">
        <f t="shared" si="18"/>
        <v>4</v>
      </c>
      <c r="U122" s="27" t="str">
        <f t="shared" si="17"/>
        <v>Realizada a Tiempo</v>
      </c>
      <c r="V122" s="24" t="str">
        <f t="shared" si="19"/>
        <v>Cerrada</v>
      </c>
      <c r="W122" s="51">
        <v>0.2</v>
      </c>
      <c r="X122" s="54"/>
      <c r="Y122" s="28" t="s">
        <v>58</v>
      </c>
      <c r="Z122" s="35">
        <v>365</v>
      </c>
      <c r="AA122" s="36" t="s">
        <v>50</v>
      </c>
      <c r="AB122" s="52">
        <f>Tabla1[[#This Row],[Fecha de Entrega
End Date]]+$Z122</f>
        <v>46121</v>
      </c>
      <c r="AC122" s="53"/>
      <c r="AD122" s="70" t="s">
        <v>387</v>
      </c>
      <c r="AE122" s="32"/>
      <c r="AF122" s="124"/>
    </row>
    <row r="123" spans="1:32" s="125" customFormat="1" ht="45" customHeight="1" x14ac:dyDescent="0.3">
      <c r="A123" s="2">
        <v>45747</v>
      </c>
      <c r="B123" s="111">
        <f>IF(Tabla1[[#This Row],[Origin Date ]]&lt;&gt;"",1+B122,"")</f>
        <v>119</v>
      </c>
      <c r="C123" s="22"/>
      <c r="D123" s="22"/>
      <c r="E123" s="21" t="s">
        <v>449</v>
      </c>
      <c r="F123" s="21" t="s">
        <v>448</v>
      </c>
      <c r="G123" s="22" t="s">
        <v>450</v>
      </c>
      <c r="H123" s="23" t="str">
        <f t="shared" si="16"/>
        <v>ATENDIDO</v>
      </c>
      <c r="I123" s="24" t="s">
        <v>22</v>
      </c>
      <c r="J123" s="24" t="s">
        <v>16</v>
      </c>
      <c r="K123" s="71" t="s">
        <v>124</v>
      </c>
      <c r="L123" s="24" t="s">
        <v>79</v>
      </c>
      <c r="M123" s="25" t="s">
        <v>86</v>
      </c>
      <c r="N123" s="24" t="s">
        <v>185</v>
      </c>
      <c r="O123" s="25" t="s">
        <v>208</v>
      </c>
      <c r="P123" s="112" t="s">
        <v>181</v>
      </c>
      <c r="Q123" s="25" t="s">
        <v>93</v>
      </c>
      <c r="R123" s="2">
        <f>Tabla1[[#This Row],[Origin Date ]]+3</f>
        <v>45750</v>
      </c>
      <c r="S123" s="2">
        <v>45750</v>
      </c>
      <c r="T123" s="23">
        <f>IF((R123=""),"",IF((V123="Cerrada"),(S123-R123),IF((($AA$2-R123)&lt;=0),"-",($AA$2-R123))))</f>
        <v>0</v>
      </c>
      <c r="U123" s="27" t="str">
        <f t="shared" si="17"/>
        <v>Realizada a Tiempo</v>
      </c>
      <c r="V123" s="24" t="str">
        <f t="shared" ref="V123:V149" si="20">IF((R123=""),"",IF((S123=""),"Abierta","Cerrada"))</f>
        <v>Cerrada</v>
      </c>
      <c r="W123" s="51">
        <v>1</v>
      </c>
      <c r="X123" s="54" t="s">
        <v>451</v>
      </c>
      <c r="Y123" s="28" t="s">
        <v>452</v>
      </c>
      <c r="Z123" s="35">
        <v>30</v>
      </c>
      <c r="AA123" s="36" t="s">
        <v>51</v>
      </c>
      <c r="AB123" s="52">
        <f>Tabla1[[#This Row],[Fecha de Entrega
End Date]]+$Z123</f>
        <v>45780</v>
      </c>
      <c r="AC123" s="53"/>
      <c r="AD123" s="70" t="s">
        <v>386</v>
      </c>
      <c r="AE123" s="32" t="s">
        <v>499</v>
      </c>
      <c r="AF123" s="124"/>
    </row>
    <row r="124" spans="1:32" s="125" customFormat="1" ht="45" customHeight="1" x14ac:dyDescent="0.3">
      <c r="A124" s="2">
        <v>45749</v>
      </c>
      <c r="B124" s="111">
        <f>IF(Tabla1[[#This Row],[Origin Date ]]&lt;&gt;"",1+B123,"")</f>
        <v>120</v>
      </c>
      <c r="C124" s="22"/>
      <c r="D124" s="22"/>
      <c r="E124" s="21" t="s">
        <v>466</v>
      </c>
      <c r="F124" s="21" t="s">
        <v>504</v>
      </c>
      <c r="G124" s="22" t="s">
        <v>450</v>
      </c>
      <c r="H124" s="23" t="str">
        <f t="shared" si="16"/>
        <v>ATENDIDO</v>
      </c>
      <c r="I124" s="24" t="s">
        <v>13</v>
      </c>
      <c r="J124" s="24" t="s">
        <v>16</v>
      </c>
      <c r="K124" s="71" t="s">
        <v>124</v>
      </c>
      <c r="L124" s="24" t="s">
        <v>87</v>
      </c>
      <c r="M124" s="25" t="s">
        <v>83</v>
      </c>
      <c r="N124" s="24" t="s">
        <v>185</v>
      </c>
      <c r="O124" s="25" t="s">
        <v>208</v>
      </c>
      <c r="P124" s="112" t="s">
        <v>181</v>
      </c>
      <c r="Q124" s="25" t="s">
        <v>93</v>
      </c>
      <c r="R124" s="2">
        <f>Tabla1[[#This Row],[Origin Date ]]+3</f>
        <v>45752</v>
      </c>
      <c r="S124" s="2">
        <v>45754</v>
      </c>
      <c r="T124" s="23">
        <f>IF((R124=""),"",IF((V124="Cerrada"),(S124-R124),IF((($AA$2-R124)&lt;=0),"-",($AA$2-R124))))</f>
        <v>2</v>
      </c>
      <c r="U124" s="27" t="str">
        <f t="shared" si="17"/>
        <v>Realizada a Tiempo</v>
      </c>
      <c r="V124" s="24" t="str">
        <f t="shared" si="20"/>
        <v>Cerrada</v>
      </c>
      <c r="W124" s="51">
        <v>1</v>
      </c>
      <c r="X124" s="54" t="s">
        <v>541</v>
      </c>
      <c r="Y124" s="28" t="s">
        <v>58</v>
      </c>
      <c r="Z124" s="35">
        <v>30</v>
      </c>
      <c r="AA124" s="36" t="s">
        <v>51</v>
      </c>
      <c r="AB124" s="52">
        <f>Tabla1[[#This Row],[Fecha de Entrega
End Date]]+$Z124</f>
        <v>45784</v>
      </c>
      <c r="AC124" s="53"/>
      <c r="AD124" s="70" t="s">
        <v>387</v>
      </c>
      <c r="AE124" s="32" t="s">
        <v>455</v>
      </c>
      <c r="AF124" s="124"/>
    </row>
    <row r="125" spans="1:32" s="125" customFormat="1" ht="45" customHeight="1" x14ac:dyDescent="0.3">
      <c r="A125" s="2">
        <v>45748</v>
      </c>
      <c r="B125" s="111">
        <f>IF(Tabla1[[#This Row],[Origin Date ]]&lt;&gt;"",1+B124,"")</f>
        <v>121</v>
      </c>
      <c r="C125" s="22"/>
      <c r="D125" s="22"/>
      <c r="E125" s="21" t="s">
        <v>460</v>
      </c>
      <c r="F125" s="21" t="s">
        <v>461</v>
      </c>
      <c r="G125" s="22" t="s">
        <v>462</v>
      </c>
      <c r="H125" s="23" t="str">
        <f t="shared" si="16"/>
        <v>ATENDIDO</v>
      </c>
      <c r="I125" s="24" t="s">
        <v>21</v>
      </c>
      <c r="J125" s="24" t="s">
        <v>16</v>
      </c>
      <c r="K125" s="71" t="s">
        <v>124</v>
      </c>
      <c r="L125" s="24" t="s">
        <v>78</v>
      </c>
      <c r="M125" s="25" t="s">
        <v>86</v>
      </c>
      <c r="N125" s="24" t="s">
        <v>185</v>
      </c>
      <c r="O125" s="25" t="s">
        <v>208</v>
      </c>
      <c r="P125" s="112" t="s">
        <v>463</v>
      </c>
      <c r="Q125" s="25" t="s">
        <v>93</v>
      </c>
      <c r="R125" s="2">
        <f>Tabla1[[#This Row],[Origin Date ]]+3</f>
        <v>45751</v>
      </c>
      <c r="S125" s="2">
        <v>45751</v>
      </c>
      <c r="T125" s="23">
        <f>IF((R125=""),"",IF((V125="Cerrada"),(S125-R125),IF((($AA$2-R125)&lt;=0),"-",($AA$2-R125))))</f>
        <v>0</v>
      </c>
      <c r="U125" s="27" t="str">
        <f t="shared" si="17"/>
        <v>Realizada a Tiempo</v>
      </c>
      <c r="V125" s="24" t="str">
        <f t="shared" si="20"/>
        <v>Cerrada</v>
      </c>
      <c r="W125" s="51">
        <v>1</v>
      </c>
      <c r="X125" s="54" t="s">
        <v>464</v>
      </c>
      <c r="Y125" s="28" t="s">
        <v>58</v>
      </c>
      <c r="Z125" s="35">
        <v>120</v>
      </c>
      <c r="AA125" s="36" t="s">
        <v>50</v>
      </c>
      <c r="AB125" s="52">
        <f>Tabla1[[#This Row],[Fecha de Entrega
End Date]]+$Z125</f>
        <v>45871</v>
      </c>
      <c r="AC125" s="53"/>
      <c r="AD125" s="70" t="s">
        <v>386</v>
      </c>
      <c r="AE125" s="32" t="s">
        <v>465</v>
      </c>
      <c r="AF125" s="124"/>
    </row>
    <row r="126" spans="1:32" s="125" customFormat="1" ht="45" customHeight="1" x14ac:dyDescent="0.3">
      <c r="A126" s="2">
        <v>45754</v>
      </c>
      <c r="B126" s="111">
        <f>IF(Tabla1[[#This Row],[Origin Date ]]&lt;&gt;"",1+B125,"")</f>
        <v>122</v>
      </c>
      <c r="C126" s="22"/>
      <c r="D126" s="22"/>
      <c r="E126" s="21" t="s">
        <v>536</v>
      </c>
      <c r="F126" s="21" t="s">
        <v>535</v>
      </c>
      <c r="G126" s="22" t="s">
        <v>537</v>
      </c>
      <c r="H126" s="23" t="str">
        <f t="shared" si="16"/>
        <v>ATENDIDO</v>
      </c>
      <c r="I126" s="24" t="s">
        <v>97</v>
      </c>
      <c r="J126" s="24" t="s">
        <v>16</v>
      </c>
      <c r="K126" s="71" t="s">
        <v>124</v>
      </c>
      <c r="L126" s="24" t="s">
        <v>77</v>
      </c>
      <c r="M126" s="25" t="s">
        <v>95</v>
      </c>
      <c r="N126" s="24" t="s">
        <v>185</v>
      </c>
      <c r="O126" s="25" t="s">
        <v>208</v>
      </c>
      <c r="P126" s="112" t="s">
        <v>73</v>
      </c>
      <c r="Q126" s="25" t="s">
        <v>229</v>
      </c>
      <c r="R126" s="2">
        <f>Tabla1[[#This Row],[Origin Date ]]+3</f>
        <v>45757</v>
      </c>
      <c r="S126" s="2">
        <v>45755</v>
      </c>
      <c r="T126" s="23">
        <f>IF((R126=""),"",IF((V126="Cerrada"),(S126-R126),IF((($AA$2-R126)&lt;=0),"-",($AA$2-R126))))</f>
        <v>-2</v>
      </c>
      <c r="U126" s="27" t="str">
        <f t="shared" si="17"/>
        <v>Realizada a Tiempo</v>
      </c>
      <c r="V126" s="24" t="str">
        <f t="shared" si="20"/>
        <v>Cerrada</v>
      </c>
      <c r="W126" s="51">
        <v>0.5</v>
      </c>
      <c r="X126" s="54" t="s">
        <v>500</v>
      </c>
      <c r="Y126" s="28" t="s">
        <v>58</v>
      </c>
      <c r="Z126" s="35">
        <v>120</v>
      </c>
      <c r="AA126" s="36" t="s">
        <v>49</v>
      </c>
      <c r="AB126" s="52">
        <f>Tabla1[[#This Row],[Fecha de Entrega
End Date]]+$Z126</f>
        <v>45875</v>
      </c>
      <c r="AC126" s="53"/>
      <c r="AD126" s="70" t="s">
        <v>585</v>
      </c>
      <c r="AE126" s="32"/>
      <c r="AF126" s="124"/>
    </row>
    <row r="127" spans="1:32" ht="27" customHeight="1" x14ac:dyDescent="0.3">
      <c r="A127" s="2">
        <v>45754</v>
      </c>
      <c r="B127" s="144">
        <f t="shared" ref="B127:B133" si="21">IF(A127&lt;&gt;"",1+B126,"")</f>
        <v>123</v>
      </c>
      <c r="C127" s="151"/>
      <c r="D127" s="151"/>
      <c r="E127" s="73" t="s">
        <v>539</v>
      </c>
      <c r="F127" s="73" t="s">
        <v>538</v>
      </c>
      <c r="G127" s="74" t="s">
        <v>537</v>
      </c>
      <c r="H127" s="23" t="str">
        <f t="shared" si="16"/>
        <v>ATENDIDO</v>
      </c>
      <c r="I127" s="24" t="s">
        <v>21</v>
      </c>
      <c r="J127" s="24" t="s">
        <v>9</v>
      </c>
      <c r="K127" s="75" t="s">
        <v>124</v>
      </c>
      <c r="L127" s="24" t="s">
        <v>87</v>
      </c>
      <c r="M127" s="75" t="s">
        <v>86</v>
      </c>
      <c r="N127" s="24" t="s">
        <v>185</v>
      </c>
      <c r="O127" s="25" t="s">
        <v>208</v>
      </c>
      <c r="P127" s="112" t="s">
        <v>463</v>
      </c>
      <c r="Q127" s="75" t="s">
        <v>320</v>
      </c>
      <c r="R127" s="76">
        <f>Tabla1[[#This Row],[Origin Date ]]+3</f>
        <v>45757</v>
      </c>
      <c r="S127" s="2">
        <v>45756</v>
      </c>
      <c r="T127" s="77">
        <f t="shared" ref="T127:T133" si="22">IF((R127=""),"",IF((V127="Cerrada"),(S127-R127),IF((($AA$2-R127)&lt;=0),"-",($AA$2-R127))))</f>
        <v>-1</v>
      </c>
      <c r="U127" s="27" t="str">
        <f t="shared" si="17"/>
        <v>Realizada a Tiempo</v>
      </c>
      <c r="V127" s="24" t="str">
        <f t="shared" si="20"/>
        <v>Cerrada</v>
      </c>
      <c r="W127" s="51">
        <v>1</v>
      </c>
      <c r="X127" s="54" t="s">
        <v>587</v>
      </c>
      <c r="Y127" s="28" t="s">
        <v>58</v>
      </c>
      <c r="Z127" s="78">
        <v>365</v>
      </c>
      <c r="AA127" s="78" t="s">
        <v>50</v>
      </c>
      <c r="AB127" s="52">
        <f>Tabla1[[#This Row],[Fecha de Entrega
End Date]]+$Z127</f>
        <v>46121</v>
      </c>
      <c r="AC127" s="79"/>
      <c r="AD127" s="70" t="s">
        <v>386</v>
      </c>
      <c r="AE127" s="37" t="s">
        <v>586</v>
      </c>
    </row>
    <row r="128" spans="1:32" ht="42.75" customHeight="1" x14ac:dyDescent="0.3">
      <c r="A128" s="2">
        <v>45754</v>
      </c>
      <c r="B128" s="111">
        <f t="shared" si="21"/>
        <v>124</v>
      </c>
      <c r="C128" s="22"/>
      <c r="D128" s="22"/>
      <c r="E128" s="21" t="s">
        <v>550</v>
      </c>
      <c r="F128" s="21" t="s">
        <v>551</v>
      </c>
      <c r="G128" s="81" t="s">
        <v>577</v>
      </c>
      <c r="H128" s="23" t="str">
        <f t="shared" ref="H128:H133" si="23">IF((A128=""),"",IF((V128="Cerrada"),"ATENDIDO",IF(OR((($AA$2-A128)=0),(($AA$2-A128)=-1),(($AA$2-A128)=-2),(($AA$2-A128)=-3)),"BAJO",IF((T128="-3"),"MEDIO","ALTA"))))</f>
        <v>ATENDIDO</v>
      </c>
      <c r="I128" s="24" t="s">
        <v>21</v>
      </c>
      <c r="J128" s="24" t="s">
        <v>9</v>
      </c>
      <c r="K128" s="75" t="s">
        <v>120</v>
      </c>
      <c r="L128" s="24" t="s">
        <v>77</v>
      </c>
      <c r="M128" s="75" t="s">
        <v>95</v>
      </c>
      <c r="N128" s="24" t="s">
        <v>185</v>
      </c>
      <c r="O128" s="25" t="s">
        <v>208</v>
      </c>
      <c r="P128" s="112" t="s">
        <v>413</v>
      </c>
      <c r="Q128" s="75" t="s">
        <v>320</v>
      </c>
      <c r="R128" s="76">
        <f>Tabla1[[#This Row],[Origin Date ]]+3</f>
        <v>45757</v>
      </c>
      <c r="S128" s="2">
        <v>45754</v>
      </c>
      <c r="T128" s="77">
        <f t="shared" si="22"/>
        <v>-3</v>
      </c>
      <c r="U128" s="147" t="str">
        <f t="shared" ref="U128:U133" si="24">IF((R128=""),"",IF((V128="Cerrada"),"Realizada a Tiempo",IF(OR((($AB$2-R128)=0),(($AB$2-R128)=-1),(($AB$2-R128)=-2),(($AB$2-R128)=-3)),"Tiempo Límite",IF((T128="&gt;9"),"En Proceso","Atrasada"))))</f>
        <v>Realizada a Tiempo</v>
      </c>
      <c r="V128" s="24" t="str">
        <f t="shared" si="20"/>
        <v>Cerrada</v>
      </c>
      <c r="W128" s="51">
        <v>1</v>
      </c>
      <c r="X128" s="54" t="s">
        <v>578</v>
      </c>
      <c r="Y128" s="28" t="s">
        <v>88</v>
      </c>
      <c r="Z128" s="78">
        <v>365</v>
      </c>
      <c r="AA128" s="78" t="s">
        <v>50</v>
      </c>
      <c r="AB128" s="52">
        <f>Tabla1[[#This Row],[Fecha de Entrega
End Date]]+$Z128</f>
        <v>46119</v>
      </c>
      <c r="AC128" s="79"/>
      <c r="AD128" s="70" t="s">
        <v>386</v>
      </c>
      <c r="AE128" s="80"/>
    </row>
    <row r="129" spans="1:31" ht="37.5" customHeight="1" x14ac:dyDescent="0.3">
      <c r="A129" s="2">
        <v>45755</v>
      </c>
      <c r="B129" s="111">
        <f t="shared" si="21"/>
        <v>125</v>
      </c>
      <c r="C129" s="22"/>
      <c r="D129" s="22"/>
      <c r="E129" s="21" t="s">
        <v>549</v>
      </c>
      <c r="F129" s="21" t="s">
        <v>548</v>
      </c>
      <c r="G129" s="81" t="s">
        <v>552</v>
      </c>
      <c r="H129" s="126" t="str">
        <f t="shared" si="23"/>
        <v>ATENDIDO</v>
      </c>
      <c r="I129" s="24" t="s">
        <v>97</v>
      </c>
      <c r="J129" s="24" t="s">
        <v>10</v>
      </c>
      <c r="K129" s="24" t="s">
        <v>125</v>
      </c>
      <c r="L129" s="24" t="s">
        <v>87</v>
      </c>
      <c r="M129" s="75" t="s">
        <v>86</v>
      </c>
      <c r="N129" s="24" t="s">
        <v>185</v>
      </c>
      <c r="O129" s="25" t="s">
        <v>208</v>
      </c>
      <c r="P129" s="112" t="s">
        <v>319</v>
      </c>
      <c r="Q129" s="75" t="s">
        <v>320</v>
      </c>
      <c r="R129" s="76">
        <f>Tabla1[[#This Row],[Origin Date ]]+3</f>
        <v>45758</v>
      </c>
      <c r="S129" s="2">
        <v>45755</v>
      </c>
      <c r="T129" s="77">
        <f t="shared" si="22"/>
        <v>-3</v>
      </c>
      <c r="U129" s="147" t="str">
        <f t="shared" si="24"/>
        <v>Realizada a Tiempo</v>
      </c>
      <c r="V129" s="24" t="str">
        <f t="shared" si="20"/>
        <v>Cerrada</v>
      </c>
      <c r="W129" s="51">
        <v>1</v>
      </c>
      <c r="X129" s="54" t="s">
        <v>600</v>
      </c>
      <c r="Y129" s="28" t="s">
        <v>58</v>
      </c>
      <c r="Z129" s="78">
        <v>365</v>
      </c>
      <c r="AA129" s="78" t="s">
        <v>50</v>
      </c>
      <c r="AB129" s="52">
        <f>Tabla1[[#This Row],[Fecha de Entrega
End Date]]+$Z129</f>
        <v>46120</v>
      </c>
      <c r="AC129" s="79"/>
      <c r="AD129" s="70" t="s">
        <v>386</v>
      </c>
      <c r="AE129" s="80"/>
    </row>
    <row r="130" spans="1:31" ht="42.75" customHeight="1" x14ac:dyDescent="0.3">
      <c r="A130" s="2">
        <v>45758</v>
      </c>
      <c r="B130" s="111">
        <f t="shared" si="21"/>
        <v>126</v>
      </c>
      <c r="C130" s="22"/>
      <c r="D130" s="22"/>
      <c r="E130" s="21" t="s">
        <v>556</v>
      </c>
      <c r="F130" s="21" t="s">
        <v>553</v>
      </c>
      <c r="G130" s="81" t="s">
        <v>537</v>
      </c>
      <c r="H130" s="126" t="str">
        <f t="shared" si="23"/>
        <v>ATENDIDO</v>
      </c>
      <c r="I130" s="24" t="s">
        <v>21</v>
      </c>
      <c r="J130" s="24" t="s">
        <v>9</v>
      </c>
      <c r="K130" s="24" t="s">
        <v>124</v>
      </c>
      <c r="L130" s="24" t="s">
        <v>77</v>
      </c>
      <c r="M130" s="75" t="s">
        <v>86</v>
      </c>
      <c r="N130" s="24" t="s">
        <v>185</v>
      </c>
      <c r="O130" s="25" t="s">
        <v>208</v>
      </c>
      <c r="P130" s="112" t="s">
        <v>463</v>
      </c>
      <c r="Q130" s="75" t="s">
        <v>229</v>
      </c>
      <c r="R130" s="76">
        <f>Tabla1[[#This Row],[Origin Date ]]+3</f>
        <v>45761</v>
      </c>
      <c r="S130" s="2">
        <v>45761</v>
      </c>
      <c r="T130" s="77">
        <f t="shared" si="22"/>
        <v>0</v>
      </c>
      <c r="U130" s="147" t="str">
        <f t="shared" si="24"/>
        <v>Realizada a Tiempo</v>
      </c>
      <c r="V130" s="24" t="str">
        <f t="shared" si="20"/>
        <v>Cerrada</v>
      </c>
      <c r="W130" s="51">
        <v>1</v>
      </c>
      <c r="X130" s="54"/>
      <c r="Y130" s="28" t="s">
        <v>58</v>
      </c>
      <c r="Z130" s="78">
        <v>365</v>
      </c>
      <c r="AA130" s="78" t="s">
        <v>50</v>
      </c>
      <c r="AB130" s="52">
        <f>Tabla1[[#This Row],[Fecha de Entrega
End Date]]+$Z130</f>
        <v>46126</v>
      </c>
      <c r="AC130" s="79"/>
      <c r="AD130" s="70" t="s">
        <v>386</v>
      </c>
      <c r="AE130" s="80"/>
    </row>
    <row r="131" spans="1:31" ht="40.5" customHeight="1" x14ac:dyDescent="0.3">
      <c r="A131" s="2">
        <v>45755</v>
      </c>
      <c r="B131" s="111">
        <f t="shared" si="21"/>
        <v>127</v>
      </c>
      <c r="C131" s="22"/>
      <c r="D131" s="22"/>
      <c r="E131" s="21" t="s">
        <v>555</v>
      </c>
      <c r="F131" s="21" t="s">
        <v>554</v>
      </c>
      <c r="G131" s="81" t="s">
        <v>574</v>
      </c>
      <c r="H131" s="126" t="str">
        <f t="shared" si="23"/>
        <v>ATENDIDO</v>
      </c>
      <c r="I131" s="24" t="s">
        <v>61</v>
      </c>
      <c r="J131" s="24" t="s">
        <v>16</v>
      </c>
      <c r="K131" s="24" t="s">
        <v>116</v>
      </c>
      <c r="L131" s="24" t="s">
        <v>77</v>
      </c>
      <c r="M131" s="75" t="s">
        <v>86</v>
      </c>
      <c r="N131" s="24" t="s">
        <v>209</v>
      </c>
      <c r="O131" s="25" t="s">
        <v>208</v>
      </c>
      <c r="P131" s="112" t="s">
        <v>73</v>
      </c>
      <c r="Q131" s="75" t="s">
        <v>320</v>
      </c>
      <c r="R131" s="76">
        <f>Tabla1[[#This Row],[Origin Date ]]+3</f>
        <v>45758</v>
      </c>
      <c r="S131" s="2">
        <v>45755</v>
      </c>
      <c r="T131" s="77">
        <f t="shared" si="22"/>
        <v>-3</v>
      </c>
      <c r="U131" s="147" t="str">
        <f t="shared" si="24"/>
        <v>Realizada a Tiempo</v>
      </c>
      <c r="V131" s="24" t="str">
        <f t="shared" si="20"/>
        <v>Cerrada</v>
      </c>
      <c r="W131" s="51">
        <v>1</v>
      </c>
      <c r="X131" s="54" t="s">
        <v>601</v>
      </c>
      <c r="Y131" s="28" t="s">
        <v>58</v>
      </c>
      <c r="Z131" s="78">
        <v>365</v>
      </c>
      <c r="AA131" s="78" t="s">
        <v>50</v>
      </c>
      <c r="AB131" s="52">
        <f>Tabla1[[#This Row],[Fecha de Entrega
End Date]]+$Z131</f>
        <v>46120</v>
      </c>
      <c r="AC131" s="79"/>
      <c r="AD131" s="70" t="s">
        <v>386</v>
      </c>
      <c r="AE131" s="80"/>
    </row>
    <row r="132" spans="1:31" ht="46.5" customHeight="1" x14ac:dyDescent="0.3">
      <c r="A132" s="2">
        <v>45756</v>
      </c>
      <c r="B132" s="111">
        <f t="shared" si="21"/>
        <v>128</v>
      </c>
      <c r="C132" s="22"/>
      <c r="D132" s="22"/>
      <c r="E132" s="21" t="s">
        <v>557</v>
      </c>
      <c r="F132" s="21" t="s">
        <v>561</v>
      </c>
      <c r="G132" s="81" t="s">
        <v>552</v>
      </c>
      <c r="H132" s="126" t="str">
        <f t="shared" si="23"/>
        <v>ATENDIDO</v>
      </c>
      <c r="I132" s="24" t="s">
        <v>97</v>
      </c>
      <c r="J132" s="24" t="s">
        <v>10</v>
      </c>
      <c r="K132" s="24" t="s">
        <v>125</v>
      </c>
      <c r="L132" s="24" t="s">
        <v>87</v>
      </c>
      <c r="M132" s="75" t="s">
        <v>95</v>
      </c>
      <c r="N132" s="24" t="s">
        <v>185</v>
      </c>
      <c r="O132" s="25" t="s">
        <v>208</v>
      </c>
      <c r="P132" s="112" t="s">
        <v>319</v>
      </c>
      <c r="Q132" s="75" t="s">
        <v>93</v>
      </c>
      <c r="R132" s="76">
        <f>Tabla1[[#This Row],[Origin Date ]]+3</f>
        <v>45759</v>
      </c>
      <c r="S132" s="2">
        <v>45756</v>
      </c>
      <c r="T132" s="77">
        <f t="shared" si="22"/>
        <v>-3</v>
      </c>
      <c r="U132" s="147" t="str">
        <f t="shared" si="24"/>
        <v>Realizada a Tiempo</v>
      </c>
      <c r="V132" s="24" t="str">
        <f t="shared" si="20"/>
        <v>Cerrada</v>
      </c>
      <c r="W132" s="51">
        <v>1</v>
      </c>
      <c r="X132" s="54" t="s">
        <v>602</v>
      </c>
      <c r="Y132" s="28" t="s">
        <v>58</v>
      </c>
      <c r="Z132" s="78">
        <v>365</v>
      </c>
      <c r="AA132" s="78" t="s">
        <v>50</v>
      </c>
      <c r="AB132" s="52">
        <f>Tabla1[[#This Row],[Fecha de Entrega
End Date]]+$Z132</f>
        <v>46121</v>
      </c>
      <c r="AC132" s="79"/>
      <c r="AD132" s="70" t="s">
        <v>386</v>
      </c>
      <c r="AE132" s="80"/>
    </row>
    <row r="133" spans="1:31" ht="35.25" customHeight="1" x14ac:dyDescent="0.3">
      <c r="A133" s="2">
        <v>45756</v>
      </c>
      <c r="B133" s="111">
        <f t="shared" si="21"/>
        <v>129</v>
      </c>
      <c r="C133" s="22"/>
      <c r="D133" s="22"/>
      <c r="E133" s="21" t="s">
        <v>558</v>
      </c>
      <c r="F133" s="21" t="s">
        <v>579</v>
      </c>
      <c r="G133" s="81" t="s">
        <v>537</v>
      </c>
      <c r="H133" s="126" t="str">
        <f t="shared" si="23"/>
        <v>ATENDIDO</v>
      </c>
      <c r="I133" s="24" t="s">
        <v>21</v>
      </c>
      <c r="J133" s="24" t="s">
        <v>16</v>
      </c>
      <c r="K133" s="24" t="s">
        <v>124</v>
      </c>
      <c r="L133" s="24" t="s">
        <v>77</v>
      </c>
      <c r="M133" s="75" t="s">
        <v>86</v>
      </c>
      <c r="N133" s="24" t="s">
        <v>185</v>
      </c>
      <c r="O133" s="25" t="s">
        <v>208</v>
      </c>
      <c r="P133" s="112" t="s">
        <v>463</v>
      </c>
      <c r="Q133" s="75" t="s">
        <v>229</v>
      </c>
      <c r="R133" s="76">
        <f>Tabla1[[#This Row],[Origin Date ]]+3</f>
        <v>45759</v>
      </c>
      <c r="S133" s="2">
        <v>45756</v>
      </c>
      <c r="T133" s="77">
        <f t="shared" si="22"/>
        <v>-3</v>
      </c>
      <c r="U133" s="147" t="str">
        <f t="shared" si="24"/>
        <v>Realizada a Tiempo</v>
      </c>
      <c r="V133" s="24" t="str">
        <f t="shared" si="20"/>
        <v>Cerrada</v>
      </c>
      <c r="W133" s="51">
        <v>1</v>
      </c>
      <c r="X133" s="54" t="s">
        <v>464</v>
      </c>
      <c r="Y133" s="28" t="s">
        <v>58</v>
      </c>
      <c r="Z133" s="78">
        <v>365</v>
      </c>
      <c r="AA133" s="78" t="s">
        <v>50</v>
      </c>
      <c r="AB133" s="52">
        <f>Tabla1[[#This Row],[Fecha de Entrega
End Date]]+$Z133</f>
        <v>46121</v>
      </c>
      <c r="AC133" s="79"/>
      <c r="AD133" s="70" t="s">
        <v>386</v>
      </c>
      <c r="AE133" s="80"/>
    </row>
    <row r="134" spans="1:31" ht="41.25" customHeight="1" x14ac:dyDescent="0.3">
      <c r="A134" s="2">
        <v>45765</v>
      </c>
      <c r="B134" s="111">
        <f t="shared" ref="B134:B145" si="25">IF(A134&lt;&gt;"",1+B133,"")</f>
        <v>130</v>
      </c>
      <c r="C134" s="22"/>
      <c r="D134" s="22"/>
      <c r="E134" s="21" t="s">
        <v>559</v>
      </c>
      <c r="F134" s="21" t="s">
        <v>560</v>
      </c>
      <c r="G134" s="81" t="s">
        <v>537</v>
      </c>
      <c r="H134" s="127" t="str">
        <f t="shared" ref="H134:H145" si="26">IF((A134=""),"",IF((V134="Cerrada"),"ATENDIDO",IF(OR((($AA$2-A134)=0),(($AA$2-A134)=-1),(($AA$2-A134)=-2),(($AA$2-A134)=-3)),"BAJO",IF((T134="-3"),"MEDIO","ALTA"))))</f>
        <v>ATENDIDO</v>
      </c>
      <c r="I134" s="24" t="s">
        <v>21</v>
      </c>
      <c r="J134" s="24" t="s">
        <v>16</v>
      </c>
      <c r="K134" s="24" t="s">
        <v>124</v>
      </c>
      <c r="L134" s="24" t="s">
        <v>77</v>
      </c>
      <c r="M134" s="75" t="s">
        <v>86</v>
      </c>
      <c r="N134" s="24" t="s">
        <v>185</v>
      </c>
      <c r="O134" s="25" t="s">
        <v>208</v>
      </c>
      <c r="P134" s="112" t="s">
        <v>463</v>
      </c>
      <c r="Q134" s="24" t="s">
        <v>229</v>
      </c>
      <c r="R134" s="82">
        <f>Tabla1[[#This Row],[Origin Date ]]+3</f>
        <v>45768</v>
      </c>
      <c r="S134" s="2">
        <v>45768</v>
      </c>
      <c r="T134" s="83">
        <f t="shared" ref="T134:T145" si="27">IF((R134=""),"",IF((V134="Cerrada"),(S134-R134),IF((($AA$2-R134)&lt;=0),"-",($AA$2-R134))))</f>
        <v>0</v>
      </c>
      <c r="U134" s="35" t="str">
        <f t="shared" ref="U134:U145" si="28">IF((R134=""),"",IF((V134="Cerrada"),"Realizada a Tiempo",IF(OR((($AB$2-R134)=0),(($AB$2-R134)=-1),(($AB$2-R134)=-2),(($AB$2-R134)=-3)),"Tiempo Límite",IF((T134="&gt;9"),"En Proceso","Atrasada"))))</f>
        <v>Realizada a Tiempo</v>
      </c>
      <c r="V134" s="24" t="str">
        <f t="shared" si="20"/>
        <v>Cerrada</v>
      </c>
      <c r="W134" s="51">
        <v>1</v>
      </c>
      <c r="X134" s="54"/>
      <c r="Y134" s="28" t="s">
        <v>58</v>
      </c>
      <c r="Z134" s="78">
        <v>365</v>
      </c>
      <c r="AA134" s="78" t="s">
        <v>50</v>
      </c>
      <c r="AB134" s="52">
        <f>Tabla1[[#This Row],[Fecha de Entrega
End Date]]+$Z134</f>
        <v>46133</v>
      </c>
      <c r="AC134" s="44"/>
      <c r="AD134" s="70" t="s">
        <v>386</v>
      </c>
      <c r="AE134" s="37"/>
    </row>
    <row r="135" spans="1:31" ht="37.5" customHeight="1" x14ac:dyDescent="0.3">
      <c r="A135" s="2">
        <v>45756</v>
      </c>
      <c r="B135" s="111">
        <f t="shared" si="25"/>
        <v>131</v>
      </c>
      <c r="C135" s="22"/>
      <c r="D135" s="22"/>
      <c r="E135" s="21" t="s">
        <v>562</v>
      </c>
      <c r="F135" s="21" t="s">
        <v>605</v>
      </c>
      <c r="G135" s="81" t="s">
        <v>537</v>
      </c>
      <c r="H135" s="127" t="str">
        <f t="shared" si="26"/>
        <v>ATENDIDO</v>
      </c>
      <c r="I135" s="24" t="s">
        <v>21</v>
      </c>
      <c r="J135" s="24" t="s">
        <v>10</v>
      </c>
      <c r="K135" s="24" t="s">
        <v>124</v>
      </c>
      <c r="L135" s="24" t="s">
        <v>77</v>
      </c>
      <c r="M135" s="75" t="s">
        <v>86</v>
      </c>
      <c r="N135" s="24" t="s">
        <v>185</v>
      </c>
      <c r="O135" s="25" t="s">
        <v>208</v>
      </c>
      <c r="P135" s="112" t="s">
        <v>463</v>
      </c>
      <c r="Q135" s="24" t="s">
        <v>229</v>
      </c>
      <c r="R135" s="82">
        <f>Tabla1[[#This Row],[Origin Date ]]+3</f>
        <v>45759</v>
      </c>
      <c r="S135" s="2">
        <v>45757</v>
      </c>
      <c r="T135" s="83">
        <f t="shared" si="27"/>
        <v>-2</v>
      </c>
      <c r="U135" s="35" t="str">
        <f t="shared" si="28"/>
        <v>Realizada a Tiempo</v>
      </c>
      <c r="V135" s="24" t="str">
        <f t="shared" si="20"/>
        <v>Cerrada</v>
      </c>
      <c r="W135" s="51">
        <v>1</v>
      </c>
      <c r="X135" s="54"/>
      <c r="Y135" s="28" t="s">
        <v>58</v>
      </c>
      <c r="Z135" s="78">
        <v>365</v>
      </c>
      <c r="AA135" s="78" t="s">
        <v>50</v>
      </c>
      <c r="AB135" s="52">
        <f>Tabla1[[#This Row],[Fecha de Entrega
End Date]]+$Z135</f>
        <v>46122</v>
      </c>
      <c r="AC135" s="44"/>
      <c r="AD135" s="70" t="s">
        <v>386</v>
      </c>
      <c r="AE135" s="37"/>
    </row>
    <row r="136" spans="1:31" ht="36.75" customHeight="1" x14ac:dyDescent="0.3">
      <c r="A136" s="2">
        <v>45756</v>
      </c>
      <c r="B136" s="111">
        <f t="shared" si="25"/>
        <v>132</v>
      </c>
      <c r="C136" s="22"/>
      <c r="D136" s="22"/>
      <c r="E136" s="21" t="s">
        <v>563</v>
      </c>
      <c r="F136" s="21" t="s">
        <v>564</v>
      </c>
      <c r="G136" s="81" t="s">
        <v>537</v>
      </c>
      <c r="H136" s="127" t="str">
        <f t="shared" si="26"/>
        <v>ATENDIDO</v>
      </c>
      <c r="I136" s="24" t="s">
        <v>21</v>
      </c>
      <c r="J136" s="24" t="s">
        <v>10</v>
      </c>
      <c r="K136" s="24" t="s">
        <v>124</v>
      </c>
      <c r="L136" s="24" t="s">
        <v>77</v>
      </c>
      <c r="M136" s="75" t="s">
        <v>86</v>
      </c>
      <c r="N136" s="24" t="s">
        <v>185</v>
      </c>
      <c r="O136" s="25" t="s">
        <v>208</v>
      </c>
      <c r="P136" s="112" t="s">
        <v>463</v>
      </c>
      <c r="Q136" s="24" t="s">
        <v>320</v>
      </c>
      <c r="R136" s="82">
        <f>Tabla1[[#This Row],[Origin Date ]]+3</f>
        <v>45759</v>
      </c>
      <c r="S136" s="2">
        <v>45759</v>
      </c>
      <c r="T136" s="83">
        <f t="shared" si="27"/>
        <v>0</v>
      </c>
      <c r="U136" s="35" t="str">
        <f t="shared" si="28"/>
        <v>Realizada a Tiempo</v>
      </c>
      <c r="V136" s="24" t="str">
        <f t="shared" si="20"/>
        <v>Cerrada</v>
      </c>
      <c r="W136" s="51">
        <v>1</v>
      </c>
      <c r="X136" s="54" t="s">
        <v>603</v>
      </c>
      <c r="Y136" s="28" t="s">
        <v>58</v>
      </c>
      <c r="Z136" s="78">
        <v>365</v>
      </c>
      <c r="AA136" s="78" t="s">
        <v>50</v>
      </c>
      <c r="AB136" s="52">
        <f>Tabla1[[#This Row],[Fecha de Entrega
End Date]]+$Z136</f>
        <v>46124</v>
      </c>
      <c r="AC136" s="44"/>
      <c r="AD136" s="70" t="s">
        <v>386</v>
      </c>
      <c r="AE136" s="37"/>
    </row>
    <row r="137" spans="1:31" ht="33" customHeight="1" x14ac:dyDescent="0.3">
      <c r="A137" s="2">
        <v>45756</v>
      </c>
      <c r="B137" s="111">
        <f t="shared" si="25"/>
        <v>133</v>
      </c>
      <c r="C137" s="22"/>
      <c r="D137" s="22"/>
      <c r="E137" s="21" t="s">
        <v>565</v>
      </c>
      <c r="F137" s="21" t="s">
        <v>566</v>
      </c>
      <c r="G137" s="81" t="s">
        <v>574</v>
      </c>
      <c r="H137" s="127" t="str">
        <f t="shared" si="26"/>
        <v>ATENDIDO</v>
      </c>
      <c r="I137" s="24" t="s">
        <v>61</v>
      </c>
      <c r="J137" s="24" t="s">
        <v>10</v>
      </c>
      <c r="K137" s="24" t="s">
        <v>116</v>
      </c>
      <c r="L137" s="24" t="s">
        <v>77</v>
      </c>
      <c r="M137" s="75" t="s">
        <v>86</v>
      </c>
      <c r="N137" s="24" t="s">
        <v>209</v>
      </c>
      <c r="O137" s="25" t="s">
        <v>208</v>
      </c>
      <c r="P137" s="112" t="s">
        <v>73</v>
      </c>
      <c r="Q137" s="24" t="s">
        <v>320</v>
      </c>
      <c r="R137" s="82">
        <f>Tabla1[[#This Row],[Origin Date ]]+3</f>
        <v>45759</v>
      </c>
      <c r="S137" s="2">
        <v>45757</v>
      </c>
      <c r="T137" s="83">
        <f t="shared" si="27"/>
        <v>-2</v>
      </c>
      <c r="U137" s="35" t="str">
        <f t="shared" si="28"/>
        <v>Realizada a Tiempo</v>
      </c>
      <c r="V137" s="24" t="str">
        <f t="shared" si="20"/>
        <v>Cerrada</v>
      </c>
      <c r="W137" s="51">
        <v>1</v>
      </c>
      <c r="X137" s="54" t="s">
        <v>604</v>
      </c>
      <c r="Y137" s="28" t="s">
        <v>58</v>
      </c>
      <c r="Z137" s="78">
        <v>365</v>
      </c>
      <c r="AA137" s="78" t="s">
        <v>50</v>
      </c>
      <c r="AB137" s="52">
        <f>Tabla1[[#This Row],[Fecha de Entrega
End Date]]+$Z137</f>
        <v>46122</v>
      </c>
      <c r="AC137" s="45" t="s">
        <v>604</v>
      </c>
      <c r="AD137" s="70" t="s">
        <v>386</v>
      </c>
      <c r="AE137" s="37"/>
    </row>
    <row r="138" spans="1:31" ht="40.5" customHeight="1" x14ac:dyDescent="0.3">
      <c r="A138" s="2">
        <v>45756</v>
      </c>
      <c r="B138" s="111">
        <f t="shared" si="25"/>
        <v>134</v>
      </c>
      <c r="C138" s="22"/>
      <c r="D138" s="22"/>
      <c r="E138" s="21" t="s">
        <v>567</v>
      </c>
      <c r="F138" s="21" t="s">
        <v>568</v>
      </c>
      <c r="G138" s="81" t="s">
        <v>574</v>
      </c>
      <c r="H138" s="127" t="str">
        <f t="shared" si="26"/>
        <v>ATENDIDO</v>
      </c>
      <c r="I138" s="24" t="s">
        <v>61</v>
      </c>
      <c r="J138" s="24" t="s">
        <v>10</v>
      </c>
      <c r="K138" s="24" t="s">
        <v>116</v>
      </c>
      <c r="L138" s="24" t="s">
        <v>77</v>
      </c>
      <c r="M138" s="75" t="s">
        <v>86</v>
      </c>
      <c r="N138" s="24" t="s">
        <v>209</v>
      </c>
      <c r="O138" s="25" t="s">
        <v>208</v>
      </c>
      <c r="P138" s="112" t="s">
        <v>73</v>
      </c>
      <c r="Q138" s="24" t="s">
        <v>320</v>
      </c>
      <c r="R138" s="82">
        <f>Tabla1[[#This Row],[Origin Date ]]+3</f>
        <v>45759</v>
      </c>
      <c r="S138" s="2">
        <v>45757</v>
      </c>
      <c r="T138" s="83">
        <f t="shared" si="27"/>
        <v>-2</v>
      </c>
      <c r="U138" s="35" t="str">
        <f t="shared" si="28"/>
        <v>Realizada a Tiempo</v>
      </c>
      <c r="V138" s="24" t="str">
        <f t="shared" si="20"/>
        <v>Cerrada</v>
      </c>
      <c r="W138" s="51">
        <v>1</v>
      </c>
      <c r="X138" s="54" t="s">
        <v>606</v>
      </c>
      <c r="Y138" s="28" t="s">
        <v>58</v>
      </c>
      <c r="Z138" s="78">
        <v>365</v>
      </c>
      <c r="AA138" s="78" t="s">
        <v>50</v>
      </c>
      <c r="AB138" s="52">
        <f>Tabla1[[#This Row],[Fecha de Entrega
End Date]]+$Z138</f>
        <v>46122</v>
      </c>
      <c r="AC138" s="45" t="s">
        <v>607</v>
      </c>
      <c r="AD138" s="70" t="s">
        <v>386</v>
      </c>
      <c r="AE138" s="37"/>
    </row>
    <row r="139" spans="1:31" ht="33.75" customHeight="1" x14ac:dyDescent="0.3">
      <c r="A139" s="2">
        <v>45756</v>
      </c>
      <c r="B139" s="111">
        <f t="shared" si="25"/>
        <v>135</v>
      </c>
      <c r="C139" s="22"/>
      <c r="D139" s="22"/>
      <c r="E139" s="21" t="s">
        <v>569</v>
      </c>
      <c r="F139" s="21" t="s">
        <v>570</v>
      </c>
      <c r="G139" s="81" t="s">
        <v>575</v>
      </c>
      <c r="H139" s="127" t="str">
        <f t="shared" si="26"/>
        <v>ATENDIDO</v>
      </c>
      <c r="I139" s="24" t="s">
        <v>61</v>
      </c>
      <c r="J139" s="24" t="s">
        <v>9</v>
      </c>
      <c r="K139" s="24" t="s">
        <v>124</v>
      </c>
      <c r="L139" s="24" t="s">
        <v>77</v>
      </c>
      <c r="M139" s="75" t="s">
        <v>86</v>
      </c>
      <c r="N139" s="24" t="s">
        <v>209</v>
      </c>
      <c r="O139" s="25" t="s">
        <v>208</v>
      </c>
      <c r="P139" s="112" t="s">
        <v>73</v>
      </c>
      <c r="Q139" s="24" t="s">
        <v>320</v>
      </c>
      <c r="R139" s="82">
        <f>Tabla1[[#This Row],[Origin Date ]]+3</f>
        <v>45759</v>
      </c>
      <c r="S139" s="2">
        <v>45757</v>
      </c>
      <c r="T139" s="83">
        <f t="shared" si="27"/>
        <v>-2</v>
      </c>
      <c r="U139" s="35" t="str">
        <f t="shared" si="28"/>
        <v>Realizada a Tiempo</v>
      </c>
      <c r="V139" s="24" t="str">
        <f t="shared" si="20"/>
        <v>Cerrada</v>
      </c>
      <c r="W139" s="51">
        <v>1</v>
      </c>
      <c r="X139" s="54"/>
      <c r="Y139" s="28" t="s">
        <v>58</v>
      </c>
      <c r="Z139" s="78">
        <v>365</v>
      </c>
      <c r="AA139" s="78" t="s">
        <v>50</v>
      </c>
      <c r="AB139" s="52">
        <f>Tabla1[[#This Row],[Fecha de Entrega
End Date]]+$Z139</f>
        <v>46122</v>
      </c>
      <c r="AC139" s="44"/>
      <c r="AD139" s="70" t="s">
        <v>386</v>
      </c>
      <c r="AE139" s="37"/>
    </row>
    <row r="140" spans="1:31" ht="40.5" customHeight="1" x14ac:dyDescent="0.3">
      <c r="A140" s="2">
        <v>45756</v>
      </c>
      <c r="B140" s="111">
        <f t="shared" si="25"/>
        <v>136</v>
      </c>
      <c r="C140" s="22"/>
      <c r="D140" s="22"/>
      <c r="E140" s="21" t="s">
        <v>571</v>
      </c>
      <c r="F140" s="21" t="s">
        <v>599</v>
      </c>
      <c r="G140" s="81" t="s">
        <v>574</v>
      </c>
      <c r="H140" s="127" t="str">
        <f t="shared" si="26"/>
        <v>ATENDIDO</v>
      </c>
      <c r="I140" s="24" t="s">
        <v>61</v>
      </c>
      <c r="J140" s="24" t="s">
        <v>16</v>
      </c>
      <c r="K140" s="24" t="s">
        <v>124</v>
      </c>
      <c r="L140" s="24" t="s">
        <v>77</v>
      </c>
      <c r="M140" s="75" t="s">
        <v>86</v>
      </c>
      <c r="N140" s="24" t="s">
        <v>209</v>
      </c>
      <c r="O140" s="25" t="s">
        <v>208</v>
      </c>
      <c r="P140" s="112" t="s">
        <v>73</v>
      </c>
      <c r="Q140" s="24" t="s">
        <v>229</v>
      </c>
      <c r="R140" s="82">
        <f>Tabla1[[#This Row],[Origin Date ]]+3</f>
        <v>45759</v>
      </c>
      <c r="S140" s="2">
        <v>45757</v>
      </c>
      <c r="T140" s="83">
        <f t="shared" si="27"/>
        <v>-2</v>
      </c>
      <c r="U140" s="35" t="str">
        <f t="shared" si="28"/>
        <v>Realizada a Tiempo</v>
      </c>
      <c r="V140" s="24" t="str">
        <f t="shared" si="20"/>
        <v>Cerrada</v>
      </c>
      <c r="W140" s="51">
        <v>1</v>
      </c>
      <c r="X140" s="54"/>
      <c r="Y140" s="28" t="s">
        <v>58</v>
      </c>
      <c r="Z140" s="78">
        <v>365</v>
      </c>
      <c r="AA140" s="78" t="s">
        <v>50</v>
      </c>
      <c r="AB140" s="52">
        <f>Tabla1[[#This Row],[Fecha de Entrega
End Date]]+$Z140</f>
        <v>46122</v>
      </c>
      <c r="AC140" s="44"/>
      <c r="AD140" s="70" t="s">
        <v>386</v>
      </c>
      <c r="AE140" s="37"/>
    </row>
    <row r="141" spans="1:31" ht="36.75" customHeight="1" x14ac:dyDescent="0.3">
      <c r="A141" s="2">
        <v>45756</v>
      </c>
      <c r="B141" s="111">
        <f t="shared" si="25"/>
        <v>137</v>
      </c>
      <c r="C141" s="22"/>
      <c r="D141" s="22"/>
      <c r="E141" s="21" t="s">
        <v>572</v>
      </c>
      <c r="F141" s="21" t="s">
        <v>573</v>
      </c>
      <c r="G141" s="81" t="s">
        <v>576</v>
      </c>
      <c r="H141" s="127" t="str">
        <f t="shared" si="26"/>
        <v>ATENDIDO</v>
      </c>
      <c r="I141" s="24" t="s">
        <v>61</v>
      </c>
      <c r="J141" s="24" t="s">
        <v>10</v>
      </c>
      <c r="K141" s="24" t="s">
        <v>124</v>
      </c>
      <c r="L141" s="24" t="s">
        <v>77</v>
      </c>
      <c r="M141" s="75" t="s">
        <v>86</v>
      </c>
      <c r="N141" s="24" t="s">
        <v>209</v>
      </c>
      <c r="O141" s="25" t="s">
        <v>208</v>
      </c>
      <c r="P141" s="112" t="s">
        <v>73</v>
      </c>
      <c r="Q141" s="24" t="s">
        <v>229</v>
      </c>
      <c r="R141" s="82">
        <f>Tabla1[[#This Row],[Origin Date ]]+3</f>
        <v>45759</v>
      </c>
      <c r="S141" s="2">
        <v>45756</v>
      </c>
      <c r="T141" s="83">
        <f t="shared" si="27"/>
        <v>-3</v>
      </c>
      <c r="U141" s="35" t="str">
        <f t="shared" si="28"/>
        <v>Realizada a Tiempo</v>
      </c>
      <c r="V141" s="24" t="str">
        <f t="shared" si="20"/>
        <v>Cerrada</v>
      </c>
      <c r="W141" s="51">
        <v>1</v>
      </c>
      <c r="X141" s="54"/>
      <c r="Y141" s="28" t="s">
        <v>58</v>
      </c>
      <c r="Z141" s="78">
        <v>365</v>
      </c>
      <c r="AA141" s="78" t="s">
        <v>51</v>
      </c>
      <c r="AB141" s="52">
        <f>Tabla1[[#This Row],[Fecha de Entrega
End Date]]+$Z141</f>
        <v>46121</v>
      </c>
      <c r="AC141" s="44"/>
      <c r="AD141" s="70" t="s">
        <v>386</v>
      </c>
      <c r="AE141" s="37"/>
    </row>
    <row r="142" spans="1:31" ht="48.75" customHeight="1" x14ac:dyDescent="0.3">
      <c r="A142" s="2">
        <v>45756</v>
      </c>
      <c r="B142" s="111">
        <f t="shared" si="25"/>
        <v>138</v>
      </c>
      <c r="C142" s="22"/>
      <c r="D142" s="22"/>
      <c r="E142" s="21" t="s">
        <v>597</v>
      </c>
      <c r="F142" s="21" t="s">
        <v>596</v>
      </c>
      <c r="G142" s="81" t="s">
        <v>537</v>
      </c>
      <c r="H142" s="127" t="str">
        <f t="shared" si="26"/>
        <v>ATENDIDO</v>
      </c>
      <c r="I142" s="24" t="s">
        <v>21</v>
      </c>
      <c r="J142" s="24" t="s">
        <v>10</v>
      </c>
      <c r="K142" s="24" t="s">
        <v>124</v>
      </c>
      <c r="L142" s="24" t="s">
        <v>77</v>
      </c>
      <c r="M142" s="75" t="s">
        <v>86</v>
      </c>
      <c r="N142" s="24" t="s">
        <v>185</v>
      </c>
      <c r="O142" s="25" t="s">
        <v>208</v>
      </c>
      <c r="P142" s="112" t="s">
        <v>463</v>
      </c>
      <c r="Q142" s="24" t="s">
        <v>229</v>
      </c>
      <c r="R142" s="82">
        <f>Tabla1[[#This Row],[Origin Date ]]+3</f>
        <v>45759</v>
      </c>
      <c r="S142" s="2">
        <v>45756</v>
      </c>
      <c r="T142" s="83">
        <f t="shared" si="27"/>
        <v>-3</v>
      </c>
      <c r="U142" s="35" t="str">
        <f t="shared" si="28"/>
        <v>Realizada a Tiempo</v>
      </c>
      <c r="V142" s="24" t="str">
        <f t="shared" si="20"/>
        <v>Cerrada</v>
      </c>
      <c r="W142" s="51">
        <v>1</v>
      </c>
      <c r="X142" s="54"/>
      <c r="Y142" s="28" t="s">
        <v>58</v>
      </c>
      <c r="Z142" s="78">
        <v>365</v>
      </c>
      <c r="AA142" s="78" t="s">
        <v>51</v>
      </c>
      <c r="AB142" s="52">
        <f>Tabla1[[#This Row],[Fecha de Entrega
End Date]]+$Z142</f>
        <v>46121</v>
      </c>
      <c r="AC142" s="44"/>
      <c r="AD142" s="70" t="s">
        <v>386</v>
      </c>
      <c r="AE142" s="37"/>
    </row>
    <row r="143" spans="1:31" ht="35.25" customHeight="1" x14ac:dyDescent="0.3">
      <c r="A143" s="2">
        <v>45756</v>
      </c>
      <c r="B143" s="111">
        <f t="shared" si="25"/>
        <v>139</v>
      </c>
      <c r="C143" s="22"/>
      <c r="D143" s="22"/>
      <c r="E143" s="21" t="s">
        <v>619</v>
      </c>
      <c r="F143" s="21" t="s">
        <v>598</v>
      </c>
      <c r="G143" s="81" t="s">
        <v>537</v>
      </c>
      <c r="H143" s="127" t="str">
        <f t="shared" si="26"/>
        <v>ATENDIDO</v>
      </c>
      <c r="I143" s="24" t="s">
        <v>21</v>
      </c>
      <c r="J143" s="24" t="s">
        <v>16</v>
      </c>
      <c r="K143" s="24" t="s">
        <v>124</v>
      </c>
      <c r="L143" s="24" t="s">
        <v>77</v>
      </c>
      <c r="M143" s="24" t="s">
        <v>86</v>
      </c>
      <c r="N143" s="24" t="s">
        <v>185</v>
      </c>
      <c r="O143" s="25" t="s">
        <v>208</v>
      </c>
      <c r="P143" s="112" t="s">
        <v>463</v>
      </c>
      <c r="Q143" s="24" t="s">
        <v>229</v>
      </c>
      <c r="R143" s="82">
        <f>Tabla1[[#This Row],[Origin Date ]]+3</f>
        <v>45759</v>
      </c>
      <c r="S143" s="2">
        <v>45759</v>
      </c>
      <c r="T143" s="83">
        <f t="shared" si="27"/>
        <v>0</v>
      </c>
      <c r="U143" s="35" t="str">
        <f t="shared" si="28"/>
        <v>Realizada a Tiempo</v>
      </c>
      <c r="V143" s="24" t="str">
        <f t="shared" si="20"/>
        <v>Cerrada</v>
      </c>
      <c r="W143" s="51">
        <v>1</v>
      </c>
      <c r="X143" s="54"/>
      <c r="Y143" s="28" t="s">
        <v>58</v>
      </c>
      <c r="Z143" s="78">
        <v>365</v>
      </c>
      <c r="AA143" s="78" t="s">
        <v>50</v>
      </c>
      <c r="AB143" s="52">
        <f>Tabla1[[#This Row],[Fecha de Entrega
End Date]]+$Z143</f>
        <v>46124</v>
      </c>
      <c r="AC143" s="44"/>
      <c r="AD143" s="70" t="s">
        <v>386</v>
      </c>
      <c r="AE143" s="37"/>
    </row>
    <row r="144" spans="1:31" ht="42.75" customHeight="1" x14ac:dyDescent="0.3">
      <c r="A144" s="2">
        <v>45801</v>
      </c>
      <c r="B144" s="111">
        <f t="shared" si="25"/>
        <v>140</v>
      </c>
      <c r="C144" s="22"/>
      <c r="D144" s="22"/>
      <c r="E144" s="21" t="s">
        <v>618</v>
      </c>
      <c r="F144" s="21" t="s">
        <v>608</v>
      </c>
      <c r="G144" s="81" t="s">
        <v>537</v>
      </c>
      <c r="H144" s="127" t="str">
        <f t="shared" si="26"/>
        <v>ATENDIDO</v>
      </c>
      <c r="I144" s="24" t="s">
        <v>21</v>
      </c>
      <c r="J144" s="24" t="s">
        <v>9</v>
      </c>
      <c r="K144" s="24" t="s">
        <v>124</v>
      </c>
      <c r="L144" s="24" t="s">
        <v>77</v>
      </c>
      <c r="M144" s="24" t="s">
        <v>86</v>
      </c>
      <c r="N144" s="24" t="s">
        <v>185</v>
      </c>
      <c r="O144" s="25" t="s">
        <v>208</v>
      </c>
      <c r="P144" s="112" t="s">
        <v>463</v>
      </c>
      <c r="Q144" s="24" t="s">
        <v>229</v>
      </c>
      <c r="R144" s="82">
        <f>Tabla1[[#This Row],[Origin Date ]]+3</f>
        <v>45804</v>
      </c>
      <c r="S144" s="2">
        <v>45805</v>
      </c>
      <c r="T144" s="83">
        <f t="shared" si="27"/>
        <v>1</v>
      </c>
      <c r="U144" s="35" t="str">
        <f t="shared" si="28"/>
        <v>Realizada a Tiempo</v>
      </c>
      <c r="V144" s="24" t="str">
        <f t="shared" si="20"/>
        <v>Cerrada</v>
      </c>
      <c r="W144" s="51">
        <v>0.2</v>
      </c>
      <c r="X144" s="54"/>
      <c r="Y144" s="28" t="s">
        <v>58</v>
      </c>
      <c r="Z144" s="78">
        <v>365</v>
      </c>
      <c r="AA144" s="78" t="s">
        <v>50</v>
      </c>
      <c r="AB144" s="52">
        <f>Tabla1[[#This Row],[Fecha de Entrega
End Date]]+$Z144</f>
        <v>46170</v>
      </c>
      <c r="AC144" s="44"/>
      <c r="AD144" s="70" t="s">
        <v>386</v>
      </c>
      <c r="AE144" s="37"/>
    </row>
    <row r="145" spans="1:31" ht="26.25" customHeight="1" x14ac:dyDescent="0.3">
      <c r="A145" s="2">
        <v>45761</v>
      </c>
      <c r="B145" s="111">
        <f t="shared" si="25"/>
        <v>141</v>
      </c>
      <c r="C145" s="22"/>
      <c r="D145" s="22"/>
      <c r="E145" s="21" t="s">
        <v>617</v>
      </c>
      <c r="F145" s="21" t="s">
        <v>609</v>
      </c>
      <c r="G145" s="81" t="s">
        <v>537</v>
      </c>
      <c r="H145" s="127" t="str">
        <f t="shared" si="26"/>
        <v>ATENDIDO</v>
      </c>
      <c r="I145" s="24" t="s">
        <v>97</v>
      </c>
      <c r="J145" s="24" t="s">
        <v>9</v>
      </c>
      <c r="K145" s="24" t="s">
        <v>116</v>
      </c>
      <c r="L145" s="24" t="s">
        <v>77</v>
      </c>
      <c r="M145" s="24" t="s">
        <v>86</v>
      </c>
      <c r="N145" s="24" t="s">
        <v>209</v>
      </c>
      <c r="O145" s="25" t="s">
        <v>208</v>
      </c>
      <c r="P145" s="112" t="s">
        <v>73</v>
      </c>
      <c r="Q145" s="24" t="s">
        <v>229</v>
      </c>
      <c r="R145" s="82">
        <f>Tabla1[[#This Row],[Origin Date ]]+3</f>
        <v>45764</v>
      </c>
      <c r="S145" s="2">
        <v>45761</v>
      </c>
      <c r="T145" s="83">
        <f t="shared" si="27"/>
        <v>-3</v>
      </c>
      <c r="U145" s="35" t="str">
        <f t="shared" si="28"/>
        <v>Realizada a Tiempo</v>
      </c>
      <c r="V145" s="24" t="str">
        <f t="shared" si="20"/>
        <v>Cerrada</v>
      </c>
      <c r="W145" s="51">
        <v>1</v>
      </c>
      <c r="X145" s="54" t="s">
        <v>620</v>
      </c>
      <c r="Y145" s="28" t="s">
        <v>58</v>
      </c>
      <c r="Z145" s="78">
        <v>365</v>
      </c>
      <c r="AA145" s="78" t="s">
        <v>51</v>
      </c>
      <c r="AB145" s="52">
        <f>Tabla1[[#This Row],[Fecha de Entrega
End Date]]+$Z145</f>
        <v>46126</v>
      </c>
      <c r="AC145" s="44"/>
      <c r="AD145" s="70" t="s">
        <v>386</v>
      </c>
      <c r="AE145" s="37"/>
    </row>
    <row r="146" spans="1:31" ht="45" customHeight="1" x14ac:dyDescent="0.3">
      <c r="A146" s="2">
        <v>45769</v>
      </c>
      <c r="B146" s="111">
        <f t="shared" ref="B146:B154" si="29">IF(A146&lt;&gt;"",1+B145,"")</f>
        <v>142</v>
      </c>
      <c r="C146" s="22"/>
      <c r="D146" s="22"/>
      <c r="E146" s="21" t="s">
        <v>674</v>
      </c>
      <c r="F146" s="21" t="s">
        <v>673</v>
      </c>
      <c r="G146" s="81" t="s">
        <v>574</v>
      </c>
      <c r="H146" s="128" t="str">
        <f t="shared" ref="H146:H154" si="30">IF((A146=""),"",IF((V146="Cerrada"),"ATENDIDO",IF(OR((($AA$2-A146)=0),(($AA$2-A146)=-1),(($AA$2-A146)=-2),(($AA$2-A146)=-3)),"BAJO",IF((T146="-3"),"MEDIO","ALTA"))))</f>
        <v>ATENDIDO</v>
      </c>
      <c r="I146" s="24" t="s">
        <v>21</v>
      </c>
      <c r="J146" s="24" t="s">
        <v>9</v>
      </c>
      <c r="K146" s="24" t="s">
        <v>116</v>
      </c>
      <c r="L146" s="24" t="s">
        <v>87</v>
      </c>
      <c r="M146" s="24" t="s">
        <v>86</v>
      </c>
      <c r="N146" s="24" t="s">
        <v>209</v>
      </c>
      <c r="O146" s="25" t="s">
        <v>208</v>
      </c>
      <c r="P146" s="112" t="s">
        <v>73</v>
      </c>
      <c r="Q146" s="24" t="s">
        <v>320</v>
      </c>
      <c r="R146" s="87">
        <f>Tabla1[[#This Row],[Origin Date ]]+3</f>
        <v>45772</v>
      </c>
      <c r="S146" s="2">
        <v>45771</v>
      </c>
      <c r="T146" s="88">
        <f>IF((R146=""),"",IF((V146="Cerrada"),(S146-R146),IF((($AA$2-R146)&lt;=0),"-",($AA$2-R146))))</f>
        <v>-1</v>
      </c>
      <c r="U146" s="148" t="str">
        <f>IF((R146=""),"",IF((V146="Cerrada"),"Realizada a Tiempo",IF(OR((($AB$2-R146)=0),(($AB$2-R146)=-1),(($AB$2-R146)=-2),(($AB$2-R146)=-3)),"Tiempo Límite",IF((T146="&gt;9"),"En Proceso","Atrasada"))))</f>
        <v>Realizada a Tiempo</v>
      </c>
      <c r="V146" s="24" t="str">
        <f t="shared" si="20"/>
        <v>Cerrada</v>
      </c>
      <c r="W146" s="51">
        <v>1</v>
      </c>
      <c r="X146" s="54" t="s">
        <v>675</v>
      </c>
      <c r="Y146" s="28" t="s">
        <v>58</v>
      </c>
      <c r="Z146" s="78">
        <v>365</v>
      </c>
      <c r="AA146" s="89" t="s">
        <v>51</v>
      </c>
      <c r="AB146" s="52">
        <f>Tabla1[[#This Row],[Fecha de Entrega
End Date]]+$Z146</f>
        <v>46136</v>
      </c>
      <c r="AC146" s="90" t="s">
        <v>676</v>
      </c>
      <c r="AD146" s="70" t="s">
        <v>386</v>
      </c>
      <c r="AE146" s="91"/>
    </row>
    <row r="147" spans="1:31" ht="36" customHeight="1" x14ac:dyDescent="0.3">
      <c r="A147" s="2">
        <v>45786</v>
      </c>
      <c r="B147" s="111">
        <f t="shared" si="29"/>
        <v>143</v>
      </c>
      <c r="C147" s="22"/>
      <c r="D147" s="22"/>
      <c r="E147" s="21" t="s">
        <v>616</v>
      </c>
      <c r="F147" s="21" t="s">
        <v>610</v>
      </c>
      <c r="G147" s="81" t="s">
        <v>574</v>
      </c>
      <c r="H147" s="128" t="str">
        <f t="shared" si="30"/>
        <v>ATENDIDO</v>
      </c>
      <c r="I147" s="24" t="s">
        <v>21</v>
      </c>
      <c r="J147" s="24" t="s">
        <v>9</v>
      </c>
      <c r="K147" s="24" t="s">
        <v>116</v>
      </c>
      <c r="L147" s="24" t="s">
        <v>87</v>
      </c>
      <c r="M147" s="24" t="s">
        <v>86</v>
      </c>
      <c r="N147" s="24" t="s">
        <v>209</v>
      </c>
      <c r="O147" s="25" t="s">
        <v>208</v>
      </c>
      <c r="P147" s="112" t="s">
        <v>73</v>
      </c>
      <c r="Q147" s="24" t="s">
        <v>320</v>
      </c>
      <c r="R147" s="87">
        <f>Tabla1[[#This Row],[Origin Date ]]+3</f>
        <v>45789</v>
      </c>
      <c r="S147" s="2">
        <v>45789</v>
      </c>
      <c r="T147" s="88">
        <f>IF((R147=""),"",IF((V147="Cerrada"),(S147-R147),IF((($AA$2-R147)&lt;=0),"-",($AA$2-R147))))</f>
        <v>0</v>
      </c>
      <c r="U147" s="148" t="str">
        <f>IF((R147=""),"",IF((V147="Cerrada"),"Realizada a Tiempo",IF(OR((($AB$2-R147)=0),(($AB$2-R147)=-1),(($AB$2-R147)=-2),(($AB$2-R147)=-3)),"Tiempo Límite",IF((T147="&gt;9"),"En Proceso","Atrasada"))))</f>
        <v>Realizada a Tiempo</v>
      </c>
      <c r="V147" s="24" t="str">
        <f t="shared" si="20"/>
        <v>Cerrada</v>
      </c>
      <c r="W147" s="51">
        <v>0.8</v>
      </c>
      <c r="X147" s="54" t="s">
        <v>667</v>
      </c>
      <c r="Y147" s="28" t="s">
        <v>58</v>
      </c>
      <c r="Z147" s="78">
        <v>365</v>
      </c>
      <c r="AA147" s="89" t="s">
        <v>52</v>
      </c>
      <c r="AB147" s="52">
        <f>Tabla1[[#This Row],[Fecha de Entrega
End Date]]+$Z147</f>
        <v>46154</v>
      </c>
      <c r="AC147" s="90"/>
      <c r="AD147" s="70" t="s">
        <v>385</v>
      </c>
      <c r="AE147" s="37" t="s">
        <v>727</v>
      </c>
    </row>
    <row r="148" spans="1:31" ht="39" customHeight="1" x14ac:dyDescent="0.3">
      <c r="A148" s="2">
        <v>45761</v>
      </c>
      <c r="B148" s="111">
        <f t="shared" si="29"/>
        <v>144</v>
      </c>
      <c r="C148" s="22"/>
      <c r="D148" s="22"/>
      <c r="E148" s="21" t="s">
        <v>615</v>
      </c>
      <c r="F148" s="21" t="s">
        <v>614</v>
      </c>
      <c r="G148" s="81" t="s">
        <v>574</v>
      </c>
      <c r="H148" s="128" t="str">
        <f t="shared" si="30"/>
        <v>ATENDIDO</v>
      </c>
      <c r="I148" s="24" t="s">
        <v>21</v>
      </c>
      <c r="J148" s="24" t="s">
        <v>9</v>
      </c>
      <c r="K148" s="24" t="s">
        <v>116</v>
      </c>
      <c r="L148" s="24" t="s">
        <v>77</v>
      </c>
      <c r="M148" s="24" t="s">
        <v>95</v>
      </c>
      <c r="N148" s="24" t="s">
        <v>209</v>
      </c>
      <c r="O148" s="25" t="s">
        <v>208</v>
      </c>
      <c r="P148" s="112" t="s">
        <v>73</v>
      </c>
      <c r="Q148" s="24" t="s">
        <v>229</v>
      </c>
      <c r="R148" s="87">
        <f>Tabla1[[#This Row],[Origin Date ]]+3</f>
        <v>45764</v>
      </c>
      <c r="S148" s="2">
        <v>45762</v>
      </c>
      <c r="T148" s="88">
        <f>IF((R148=""),"",IF((V148="Cerrada"),(S148-R148),IF((($AA$2-R148)&lt;=0),"-",($AA$2-R148))))</f>
        <v>-2</v>
      </c>
      <c r="U148" s="148" t="str">
        <f>IF((R148=""),"",IF((V148="Cerrada"),"Realizada a Tiempo",IF(OR((($AB$2-R148)=0),(($AB$2-R148)=-1),(($AB$2-R148)=-2),(($AB$2-R148)=-3)),"Tiempo Límite",IF((T148="&gt;9"),"En Proceso","Atrasada"))))</f>
        <v>Realizada a Tiempo</v>
      </c>
      <c r="V148" s="24" t="str">
        <f t="shared" si="20"/>
        <v>Cerrada</v>
      </c>
      <c r="W148" s="51">
        <v>1</v>
      </c>
      <c r="X148" s="54"/>
      <c r="Y148" s="28" t="s">
        <v>58</v>
      </c>
      <c r="Z148" s="78">
        <v>365</v>
      </c>
      <c r="AA148" s="89" t="s">
        <v>51</v>
      </c>
      <c r="AB148" s="52">
        <f>Tabla1[[#This Row],[Fecha de Entrega
End Date]]+$Z148</f>
        <v>46127</v>
      </c>
      <c r="AC148" s="90"/>
      <c r="AD148" s="53" t="s">
        <v>386</v>
      </c>
      <c r="AE148" s="91"/>
    </row>
    <row r="149" spans="1:31" ht="45" customHeight="1" x14ac:dyDescent="0.3">
      <c r="A149" s="2">
        <v>45761</v>
      </c>
      <c r="B149" s="145">
        <f t="shared" si="29"/>
        <v>145</v>
      </c>
      <c r="C149" s="152"/>
      <c r="D149" s="152"/>
      <c r="E149" s="85" t="s">
        <v>634</v>
      </c>
      <c r="F149" s="85" t="s">
        <v>635</v>
      </c>
      <c r="G149" s="86" t="s">
        <v>574</v>
      </c>
      <c r="H149" s="128" t="str">
        <f t="shared" si="30"/>
        <v>ATENDIDO</v>
      </c>
      <c r="I149" s="24" t="s">
        <v>21</v>
      </c>
      <c r="J149" s="24" t="s">
        <v>9</v>
      </c>
      <c r="K149" s="24" t="s">
        <v>116</v>
      </c>
      <c r="L149" s="24" t="s">
        <v>77</v>
      </c>
      <c r="M149" s="24" t="s">
        <v>95</v>
      </c>
      <c r="N149" s="24" t="s">
        <v>209</v>
      </c>
      <c r="O149" s="25" t="s">
        <v>208</v>
      </c>
      <c r="P149" s="112" t="s">
        <v>73</v>
      </c>
      <c r="Q149" s="24" t="s">
        <v>93</v>
      </c>
      <c r="R149" s="87">
        <f>Tabla1[[#This Row],[Origin Date ]]+3</f>
        <v>45764</v>
      </c>
      <c r="S149" s="2">
        <v>45763</v>
      </c>
      <c r="T149" s="88">
        <f>IF((R149=""),"",IF((V149="Cerrada"),(S149-R149),IF((($AA$2-R149)&lt;=0),"-",($AA$2-R149))))</f>
        <v>-1</v>
      </c>
      <c r="U149" s="148" t="str">
        <f>IF((R149=""),"",IF((V149="Cerrada"),"Realizada a Tiempo",IF(OR((($AB$2-R149)=0),(($AB$2-R149)=-1),(($AB$2-R149)=-2),(($AB$2-R149)=-3)),"Tiempo Límite",IF((T149="&gt;9"),"En Proceso","Atrasada"))))</f>
        <v>Realizada a Tiempo</v>
      </c>
      <c r="V149" s="24" t="str">
        <f t="shared" si="20"/>
        <v>Cerrada</v>
      </c>
      <c r="W149" s="51">
        <v>0.8</v>
      </c>
      <c r="X149" s="54" t="s">
        <v>638</v>
      </c>
      <c r="Y149" s="28" t="s">
        <v>58</v>
      </c>
      <c r="Z149" s="78">
        <v>365</v>
      </c>
      <c r="AA149" s="89" t="s">
        <v>52</v>
      </c>
      <c r="AB149" s="52">
        <f>Tabla1[[#This Row],[Fecha de Entrega
End Date]]+$Z149</f>
        <v>46128</v>
      </c>
      <c r="AC149" s="45" t="s">
        <v>639</v>
      </c>
      <c r="AD149" s="53" t="s">
        <v>386</v>
      </c>
      <c r="AE149" s="91"/>
    </row>
    <row r="150" spans="1:31" ht="43.5" customHeight="1" x14ac:dyDescent="0.3">
      <c r="A150" s="2">
        <v>45763</v>
      </c>
      <c r="B150" s="111">
        <f t="shared" si="29"/>
        <v>146</v>
      </c>
      <c r="C150" s="22"/>
      <c r="D150" s="22"/>
      <c r="E150" s="21" t="s">
        <v>636</v>
      </c>
      <c r="F150" s="21" t="s">
        <v>637</v>
      </c>
      <c r="G150" s="86" t="s">
        <v>574</v>
      </c>
      <c r="H150" s="127" t="str">
        <f t="shared" si="30"/>
        <v>ATENDIDO</v>
      </c>
      <c r="I150" s="24" t="s">
        <v>21</v>
      </c>
      <c r="J150" s="24" t="s">
        <v>9</v>
      </c>
      <c r="K150" s="24" t="s">
        <v>116</v>
      </c>
      <c r="L150" s="24" t="s">
        <v>77</v>
      </c>
      <c r="M150" s="24" t="s">
        <v>82</v>
      </c>
      <c r="N150" s="24" t="s">
        <v>209</v>
      </c>
      <c r="O150" s="25" t="s">
        <v>208</v>
      </c>
      <c r="P150" s="112" t="s">
        <v>73</v>
      </c>
      <c r="Q150" s="24" t="s">
        <v>93</v>
      </c>
      <c r="R150" s="82">
        <f>Tabla1[[#This Row],[Origin Date ]]+3</f>
        <v>45766</v>
      </c>
      <c r="S150" s="2">
        <v>45763</v>
      </c>
      <c r="T150" s="88">
        <f t="shared" ref="T150:T157" si="31">IF((R150=""),"",IF((V150="Cerrada"),(S150-R150),IF((($AA$2-R150)&lt;=0),"-",($AA$2-R150))))</f>
        <v>-3</v>
      </c>
      <c r="U150" s="148" t="str">
        <f t="shared" ref="U150:U213" si="32">IF((R150=""),"",IF((V150="Cerrada"),"Realizada a Tiempo",IF(OR((($AB$2-R150)=0),(($AB$2-R150)=-1),(($AB$2-R150)=-2),(($AB$2-R150)=-3)),"Tiempo Límite",IF((T150="&gt;9"),"En Proceso","Atrasada"))))</f>
        <v>Realizada a Tiempo</v>
      </c>
      <c r="V150" s="24" t="str">
        <f t="shared" ref="V150:V213" si="33">IF((R150=""),"",IF((S150=""),"Abierta","Cerrada"))</f>
        <v>Cerrada</v>
      </c>
      <c r="W150" s="51">
        <v>1</v>
      </c>
      <c r="X150" s="54"/>
      <c r="Y150" s="28" t="s">
        <v>58</v>
      </c>
      <c r="Z150" s="78">
        <v>365</v>
      </c>
      <c r="AA150" s="36" t="s">
        <v>52</v>
      </c>
      <c r="AB150" s="52">
        <f>Tabla1[[#This Row],[Fecha de Entrega
End Date]]+$Z150</f>
        <v>46128</v>
      </c>
      <c r="AC150" s="44"/>
      <c r="AD150" s="53" t="s">
        <v>386</v>
      </c>
      <c r="AE150" s="37"/>
    </row>
    <row r="151" spans="1:31" ht="50.25" customHeight="1" x14ac:dyDescent="0.3">
      <c r="A151" s="2">
        <v>45777</v>
      </c>
      <c r="B151" s="111">
        <f t="shared" si="29"/>
        <v>147</v>
      </c>
      <c r="C151" s="22"/>
      <c r="D151" s="22"/>
      <c r="E151" s="21" t="s">
        <v>650</v>
      </c>
      <c r="F151" s="21" t="s">
        <v>659</v>
      </c>
      <c r="G151" s="81" t="s">
        <v>537</v>
      </c>
      <c r="H151" s="127" t="str">
        <f t="shared" si="30"/>
        <v>ATENDIDO</v>
      </c>
      <c r="I151" s="24" t="s">
        <v>21</v>
      </c>
      <c r="J151" s="24" t="s">
        <v>16</v>
      </c>
      <c r="K151" s="24" t="s">
        <v>124</v>
      </c>
      <c r="L151" s="24" t="s">
        <v>77</v>
      </c>
      <c r="M151" s="24" t="s">
        <v>95</v>
      </c>
      <c r="N151" s="24" t="s">
        <v>185</v>
      </c>
      <c r="O151" s="25" t="s">
        <v>208</v>
      </c>
      <c r="P151" s="112" t="s">
        <v>463</v>
      </c>
      <c r="Q151" s="24" t="s">
        <v>229</v>
      </c>
      <c r="R151" s="82">
        <f>Tabla1[[#This Row],[Origin Date ]]+3</f>
        <v>45780</v>
      </c>
      <c r="S151" s="2">
        <v>45780</v>
      </c>
      <c r="T151" s="88">
        <f t="shared" si="31"/>
        <v>0</v>
      </c>
      <c r="U151" s="148" t="str">
        <f t="shared" si="32"/>
        <v>Realizada a Tiempo</v>
      </c>
      <c r="V151" s="24" t="str">
        <f t="shared" si="33"/>
        <v>Cerrada</v>
      </c>
      <c r="W151" s="51">
        <v>0.7</v>
      </c>
      <c r="X151" s="54" t="s">
        <v>693</v>
      </c>
      <c r="Y151" s="28" t="s">
        <v>58</v>
      </c>
      <c r="Z151" s="78">
        <v>365</v>
      </c>
      <c r="AA151" s="36" t="s">
        <v>52</v>
      </c>
      <c r="AB151" s="52">
        <f>Tabla1[[#This Row],[Fecha de Entrega
End Date]]+$Z151</f>
        <v>46145</v>
      </c>
      <c r="AC151" s="44"/>
      <c r="AD151" s="53" t="s">
        <v>386</v>
      </c>
      <c r="AE151" s="37" t="s">
        <v>485</v>
      </c>
    </row>
    <row r="152" spans="1:31" ht="43.5" customHeight="1" x14ac:dyDescent="0.3">
      <c r="A152" s="2">
        <v>45768</v>
      </c>
      <c r="B152" s="111">
        <f t="shared" si="29"/>
        <v>148</v>
      </c>
      <c r="C152" s="22"/>
      <c r="D152" s="22"/>
      <c r="E152" s="21" t="s">
        <v>651</v>
      </c>
      <c r="F152" s="21" t="s">
        <v>642</v>
      </c>
      <c r="G152" s="81" t="s">
        <v>537</v>
      </c>
      <c r="H152" s="127" t="str">
        <f t="shared" si="30"/>
        <v>ATENDIDO</v>
      </c>
      <c r="I152" s="24" t="s">
        <v>21</v>
      </c>
      <c r="J152" s="24" t="s">
        <v>16</v>
      </c>
      <c r="K152" s="24" t="s">
        <v>124</v>
      </c>
      <c r="L152" s="24" t="s">
        <v>77</v>
      </c>
      <c r="M152" s="24" t="s">
        <v>95</v>
      </c>
      <c r="N152" s="24" t="s">
        <v>185</v>
      </c>
      <c r="O152" s="25" t="s">
        <v>208</v>
      </c>
      <c r="P152" s="112" t="s">
        <v>463</v>
      </c>
      <c r="Q152" s="24" t="s">
        <v>229</v>
      </c>
      <c r="R152" s="82">
        <f>Tabla1[[#This Row],[Origin Date ]]+3</f>
        <v>45771</v>
      </c>
      <c r="S152" s="2">
        <v>45769</v>
      </c>
      <c r="T152" s="88">
        <f t="shared" si="31"/>
        <v>-2</v>
      </c>
      <c r="U152" s="148" t="str">
        <f t="shared" si="32"/>
        <v>Realizada a Tiempo</v>
      </c>
      <c r="V152" s="24" t="str">
        <f t="shared" si="33"/>
        <v>Cerrada</v>
      </c>
      <c r="W152" s="51">
        <v>0.8</v>
      </c>
      <c r="X152" s="54"/>
      <c r="Y152" s="28" t="s">
        <v>58</v>
      </c>
      <c r="Z152" s="78">
        <v>365</v>
      </c>
      <c r="AA152" s="36"/>
      <c r="AB152" s="52">
        <f>Tabla1[[#This Row],[Fecha de Entrega
End Date]]+$Z152</f>
        <v>46134</v>
      </c>
      <c r="AC152" s="44"/>
      <c r="AD152" s="53" t="s">
        <v>386</v>
      </c>
      <c r="AE152" s="37"/>
    </row>
    <row r="153" spans="1:31" ht="30" customHeight="1" x14ac:dyDescent="0.3">
      <c r="A153" s="2">
        <v>45773</v>
      </c>
      <c r="B153" s="111">
        <f t="shared" si="29"/>
        <v>149</v>
      </c>
      <c r="C153" s="22"/>
      <c r="D153" s="22"/>
      <c r="E153" s="21" t="s">
        <v>619</v>
      </c>
      <c r="F153" s="21" t="s">
        <v>643</v>
      </c>
      <c r="G153" s="81" t="s">
        <v>537</v>
      </c>
      <c r="H153" s="127" t="str">
        <f t="shared" si="30"/>
        <v>ATENDIDO</v>
      </c>
      <c r="I153" s="24" t="s">
        <v>21</v>
      </c>
      <c r="J153" s="24" t="s">
        <v>10</v>
      </c>
      <c r="K153" s="24" t="s">
        <v>124</v>
      </c>
      <c r="L153" s="24" t="s">
        <v>77</v>
      </c>
      <c r="M153" s="24" t="s">
        <v>95</v>
      </c>
      <c r="N153" s="24" t="s">
        <v>185</v>
      </c>
      <c r="O153" s="25" t="s">
        <v>208</v>
      </c>
      <c r="P153" s="112" t="s">
        <v>463</v>
      </c>
      <c r="Q153" s="24" t="s">
        <v>229</v>
      </c>
      <c r="R153" s="82">
        <f>Tabla1[[#This Row],[Origin Date ]]+3</f>
        <v>45776</v>
      </c>
      <c r="S153" s="2">
        <v>45776</v>
      </c>
      <c r="T153" s="88">
        <f t="shared" si="31"/>
        <v>0</v>
      </c>
      <c r="U153" s="148" t="str">
        <f t="shared" si="32"/>
        <v>Realizada a Tiempo</v>
      </c>
      <c r="V153" s="24" t="str">
        <f t="shared" si="33"/>
        <v>Cerrada</v>
      </c>
      <c r="W153" s="51">
        <v>0.8</v>
      </c>
      <c r="X153" s="54"/>
      <c r="Y153" s="28" t="s">
        <v>58</v>
      </c>
      <c r="Z153" s="78">
        <v>365</v>
      </c>
      <c r="AA153" s="36"/>
      <c r="AB153" s="52">
        <f>Tabla1[[#This Row],[Fecha de Entrega
End Date]]+$Z153</f>
        <v>46141</v>
      </c>
      <c r="AC153" s="44"/>
      <c r="AD153" s="53" t="s">
        <v>386</v>
      </c>
      <c r="AE153" s="37"/>
    </row>
    <row r="154" spans="1:31" ht="42" customHeight="1" x14ac:dyDescent="0.3">
      <c r="A154" s="2">
        <v>45765</v>
      </c>
      <c r="B154" s="111">
        <f t="shared" si="29"/>
        <v>150</v>
      </c>
      <c r="C154" s="22"/>
      <c r="D154" s="22"/>
      <c r="E154" s="21" t="s">
        <v>652</v>
      </c>
      <c r="F154" s="21" t="s">
        <v>649</v>
      </c>
      <c r="G154" s="81" t="s">
        <v>537</v>
      </c>
      <c r="H154" s="127" t="str">
        <f t="shared" si="30"/>
        <v>ATENDIDO</v>
      </c>
      <c r="I154" s="24" t="s">
        <v>21</v>
      </c>
      <c r="J154" s="24" t="s">
        <v>10</v>
      </c>
      <c r="K154" s="24" t="s">
        <v>116</v>
      </c>
      <c r="L154" s="24" t="s">
        <v>77</v>
      </c>
      <c r="M154" s="24" t="s">
        <v>95</v>
      </c>
      <c r="N154" s="24" t="s">
        <v>209</v>
      </c>
      <c r="O154" s="25" t="s">
        <v>208</v>
      </c>
      <c r="P154" s="112" t="s">
        <v>463</v>
      </c>
      <c r="Q154" s="24" t="s">
        <v>229</v>
      </c>
      <c r="R154" s="82">
        <f>Tabla1[[#This Row],[Origin Date ]]+3</f>
        <v>45768</v>
      </c>
      <c r="S154" s="2">
        <v>45766</v>
      </c>
      <c r="T154" s="88">
        <f t="shared" si="31"/>
        <v>-2</v>
      </c>
      <c r="U154" s="148" t="str">
        <f t="shared" si="32"/>
        <v>Realizada a Tiempo</v>
      </c>
      <c r="V154" s="24" t="str">
        <f t="shared" si="33"/>
        <v>Cerrada</v>
      </c>
      <c r="W154" s="51">
        <v>1</v>
      </c>
      <c r="X154" s="54" t="s">
        <v>647</v>
      </c>
      <c r="Y154" s="28" t="s">
        <v>58</v>
      </c>
      <c r="Z154" s="78">
        <v>365</v>
      </c>
      <c r="AA154" s="36" t="s">
        <v>51</v>
      </c>
      <c r="AB154" s="52">
        <f>Tabla1[[#This Row],[Fecha de Entrega
End Date]]+$Z154</f>
        <v>46131</v>
      </c>
      <c r="AC154" s="45" t="s">
        <v>648</v>
      </c>
      <c r="AD154" s="53" t="s">
        <v>386</v>
      </c>
      <c r="AE154" s="37"/>
    </row>
    <row r="155" spans="1:31" ht="38.25" customHeight="1" x14ac:dyDescent="0.3">
      <c r="A155" s="2">
        <v>45765</v>
      </c>
      <c r="B155" s="111">
        <f t="shared" ref="B155:B163" si="34">IF(A155&lt;&gt;"",1+B154,"")</f>
        <v>151</v>
      </c>
      <c r="C155" s="22"/>
      <c r="D155" s="22"/>
      <c r="E155" s="21" t="s">
        <v>653</v>
      </c>
      <c r="F155" s="21" t="s">
        <v>644</v>
      </c>
      <c r="G155" s="81" t="s">
        <v>537</v>
      </c>
      <c r="H155" s="127" t="str">
        <f t="shared" ref="H155:H163" si="35">IF((A155=""),"",IF((V155="Cerrada"),"ATENDIDO",IF(OR((($AA$2-A155)=0),(($AA$2-A155)=-1),(($AA$2-A155)=-2),(($AA$2-A155)=-3)),"BAJO",IF((T155="-3"),"MEDIO","ALTA"))))</f>
        <v>ATENDIDO</v>
      </c>
      <c r="I155" s="24" t="s">
        <v>21</v>
      </c>
      <c r="J155" s="24" t="s">
        <v>10</v>
      </c>
      <c r="K155" s="24" t="s">
        <v>124</v>
      </c>
      <c r="L155" s="24" t="s">
        <v>77</v>
      </c>
      <c r="M155" s="24" t="s">
        <v>95</v>
      </c>
      <c r="N155" s="24" t="s">
        <v>185</v>
      </c>
      <c r="O155" s="25" t="s">
        <v>208</v>
      </c>
      <c r="P155" s="112" t="s">
        <v>463</v>
      </c>
      <c r="Q155" s="24" t="s">
        <v>229</v>
      </c>
      <c r="R155" s="82">
        <f>Tabla1[[#This Row],[Origin Date ]]+3</f>
        <v>45768</v>
      </c>
      <c r="S155" s="2">
        <v>45765</v>
      </c>
      <c r="T155" s="88">
        <f t="shared" si="31"/>
        <v>-3</v>
      </c>
      <c r="U155" s="148" t="str">
        <f t="shared" si="32"/>
        <v>Realizada a Tiempo</v>
      </c>
      <c r="V155" s="24" t="str">
        <f t="shared" si="33"/>
        <v>Cerrada</v>
      </c>
      <c r="W155" s="51">
        <v>1</v>
      </c>
      <c r="X155" s="54" t="s">
        <v>645</v>
      </c>
      <c r="Y155" s="28" t="s">
        <v>58</v>
      </c>
      <c r="Z155" s="78">
        <v>365</v>
      </c>
      <c r="AA155" s="36" t="s">
        <v>51</v>
      </c>
      <c r="AB155" s="52">
        <f>Tabla1[[#This Row],[Fecha de Entrega
End Date]]+$Z155</f>
        <v>46130</v>
      </c>
      <c r="AC155" s="45" t="s">
        <v>646</v>
      </c>
      <c r="AD155" s="53" t="s">
        <v>386</v>
      </c>
      <c r="AE155" s="37"/>
    </row>
    <row r="156" spans="1:31" ht="45.75" customHeight="1" x14ac:dyDescent="0.3">
      <c r="A156" s="2">
        <v>45766</v>
      </c>
      <c r="B156" s="111">
        <f t="shared" si="34"/>
        <v>152</v>
      </c>
      <c r="C156" s="22"/>
      <c r="D156" s="22"/>
      <c r="E156" s="21" t="s">
        <v>657</v>
      </c>
      <c r="F156" s="21" t="s">
        <v>662</v>
      </c>
      <c r="G156" s="81" t="s">
        <v>654</v>
      </c>
      <c r="H156" s="127" t="str">
        <f t="shared" si="35"/>
        <v>ATENDIDO</v>
      </c>
      <c r="I156" s="24" t="s">
        <v>21</v>
      </c>
      <c r="J156" s="24" t="s">
        <v>10</v>
      </c>
      <c r="K156" s="24" t="s">
        <v>655</v>
      </c>
      <c r="L156" s="24" t="s">
        <v>77</v>
      </c>
      <c r="M156" s="24" t="s">
        <v>95</v>
      </c>
      <c r="N156" s="24" t="s">
        <v>186</v>
      </c>
      <c r="O156" s="25" t="s">
        <v>208</v>
      </c>
      <c r="P156" s="112" t="s">
        <v>181</v>
      </c>
      <c r="Q156" s="24" t="s">
        <v>229</v>
      </c>
      <c r="R156" s="82">
        <f>Tabla1[[#This Row],[Origin Date ]]+3</f>
        <v>45769</v>
      </c>
      <c r="S156" s="2">
        <v>45769</v>
      </c>
      <c r="T156" s="88">
        <f t="shared" si="31"/>
        <v>0</v>
      </c>
      <c r="U156" s="148" t="str">
        <f t="shared" si="32"/>
        <v>Realizada a Tiempo</v>
      </c>
      <c r="V156" s="24" t="str">
        <f t="shared" si="33"/>
        <v>Cerrada</v>
      </c>
      <c r="W156" s="51">
        <v>0.8</v>
      </c>
      <c r="X156" s="54" t="s">
        <v>656</v>
      </c>
      <c r="Y156" s="28" t="s">
        <v>58</v>
      </c>
      <c r="Z156" s="78">
        <v>365</v>
      </c>
      <c r="AA156" s="36"/>
      <c r="AB156" s="52">
        <f>Tabla1[[#This Row],[Fecha de Entrega
End Date]]+$Z156</f>
        <v>46134</v>
      </c>
      <c r="AC156" s="45"/>
      <c r="AD156" s="53" t="s">
        <v>386</v>
      </c>
      <c r="AE156" s="37"/>
    </row>
    <row r="157" spans="1:31" ht="43.5" customHeight="1" x14ac:dyDescent="0.3">
      <c r="A157" s="2">
        <v>45768</v>
      </c>
      <c r="B157" s="111">
        <f t="shared" si="34"/>
        <v>153</v>
      </c>
      <c r="C157" s="22"/>
      <c r="D157" s="22"/>
      <c r="E157" s="21" t="s">
        <v>669</v>
      </c>
      <c r="F157" s="21" t="s">
        <v>668</v>
      </c>
      <c r="G157" s="81" t="s">
        <v>658</v>
      </c>
      <c r="H157" s="127" t="str">
        <f t="shared" si="35"/>
        <v>ATENDIDO</v>
      </c>
      <c r="I157" s="24" t="s">
        <v>21</v>
      </c>
      <c r="J157" s="24" t="s">
        <v>16</v>
      </c>
      <c r="K157" s="24" t="s">
        <v>136</v>
      </c>
      <c r="L157" s="24" t="s">
        <v>77</v>
      </c>
      <c r="M157" s="24" t="s">
        <v>95</v>
      </c>
      <c r="N157" s="24" t="s">
        <v>209</v>
      </c>
      <c r="O157" s="25" t="s">
        <v>208</v>
      </c>
      <c r="P157" s="112" t="s">
        <v>181</v>
      </c>
      <c r="Q157" s="24" t="s">
        <v>93</v>
      </c>
      <c r="R157" s="82">
        <f>Tabla1[[#This Row],[Origin Date ]]+3</f>
        <v>45771</v>
      </c>
      <c r="S157" s="2">
        <v>45771</v>
      </c>
      <c r="T157" s="88">
        <f t="shared" si="31"/>
        <v>0</v>
      </c>
      <c r="U157" s="148" t="str">
        <f t="shared" si="32"/>
        <v>Realizada a Tiempo</v>
      </c>
      <c r="V157" s="24" t="str">
        <f t="shared" si="33"/>
        <v>Cerrada</v>
      </c>
      <c r="W157" s="51">
        <v>1</v>
      </c>
      <c r="X157" s="54" t="s">
        <v>678</v>
      </c>
      <c r="Y157" s="28" t="s">
        <v>58</v>
      </c>
      <c r="Z157" s="78">
        <v>365</v>
      </c>
      <c r="AA157" s="36"/>
      <c r="AB157" s="52">
        <f>Tabla1[[#This Row],[Fecha de Entrega
End Date]]+$Z157</f>
        <v>46136</v>
      </c>
      <c r="AC157" s="44"/>
      <c r="AD157" s="53" t="s">
        <v>386</v>
      </c>
      <c r="AE157" s="37" t="s">
        <v>660</v>
      </c>
    </row>
    <row r="158" spans="1:31" ht="39.75" customHeight="1" x14ac:dyDescent="0.3">
      <c r="A158" s="2">
        <v>45770</v>
      </c>
      <c r="B158" s="111">
        <f t="shared" si="34"/>
        <v>154</v>
      </c>
      <c r="C158" s="22"/>
      <c r="D158" s="22"/>
      <c r="E158" s="21" t="s">
        <v>670</v>
      </c>
      <c r="F158" s="21" t="s">
        <v>666</v>
      </c>
      <c r="G158" s="81" t="s">
        <v>537</v>
      </c>
      <c r="H158" s="127" t="str">
        <f t="shared" si="35"/>
        <v>ALTA</v>
      </c>
      <c r="I158" s="24" t="s">
        <v>21</v>
      </c>
      <c r="J158" s="24" t="s">
        <v>10</v>
      </c>
      <c r="K158" s="24" t="s">
        <v>124</v>
      </c>
      <c r="L158" s="24" t="s">
        <v>87</v>
      </c>
      <c r="M158" s="24" t="s">
        <v>95</v>
      </c>
      <c r="N158" s="24" t="s">
        <v>185</v>
      </c>
      <c r="O158" s="25" t="s">
        <v>208</v>
      </c>
      <c r="P158" s="112" t="s">
        <v>181</v>
      </c>
      <c r="Q158" s="24" t="s">
        <v>320</v>
      </c>
      <c r="R158" s="82">
        <f>Tabla1[[#This Row],[Origin Date ]]+3</f>
        <v>45773</v>
      </c>
      <c r="S158" s="2"/>
      <c r="T158" s="88" t="str">
        <f t="shared" ref="T158:T163" si="36">IF((R158=""),"",IF((V158="Cerrada"),(S158-R158),IF((($AA$2-R158)&lt;=0),"-",($AA$2-R158))))</f>
        <v>-</v>
      </c>
      <c r="U158" s="148" t="str">
        <f t="shared" ca="1" si="32"/>
        <v>Atrasada</v>
      </c>
      <c r="V158" s="24" t="str">
        <f t="shared" si="33"/>
        <v>Abierta</v>
      </c>
      <c r="W158" s="51">
        <v>0.6</v>
      </c>
      <c r="X158" s="54"/>
      <c r="Y158" s="28" t="s">
        <v>58</v>
      </c>
      <c r="Z158" s="78">
        <v>365</v>
      </c>
      <c r="AA158" s="36" t="s">
        <v>49</v>
      </c>
      <c r="AB158" s="52">
        <f>Tabla1[[#This Row],[Fecha de Entrega
End Date]]+$Z158</f>
        <v>365</v>
      </c>
      <c r="AC158" s="44"/>
      <c r="AD158" s="53" t="s">
        <v>585</v>
      </c>
      <c r="AE158" s="37" t="s">
        <v>485</v>
      </c>
    </row>
    <row r="159" spans="1:31" ht="30.75" customHeight="1" x14ac:dyDescent="0.3">
      <c r="A159" s="2">
        <v>45770</v>
      </c>
      <c r="B159" s="111">
        <f t="shared" si="34"/>
        <v>155</v>
      </c>
      <c r="C159" s="22"/>
      <c r="D159" s="22"/>
      <c r="E159" s="21" t="s">
        <v>671</v>
      </c>
      <c r="F159" s="21" t="s">
        <v>661</v>
      </c>
      <c r="G159" s="81" t="s">
        <v>537</v>
      </c>
      <c r="H159" s="127" t="str">
        <f t="shared" si="35"/>
        <v>ALTA</v>
      </c>
      <c r="I159" s="24" t="s">
        <v>21</v>
      </c>
      <c r="J159" s="24" t="s">
        <v>10</v>
      </c>
      <c r="K159" s="24" t="s">
        <v>124</v>
      </c>
      <c r="L159" s="24" t="s">
        <v>87</v>
      </c>
      <c r="M159" s="24" t="s">
        <v>95</v>
      </c>
      <c r="N159" s="24" t="s">
        <v>185</v>
      </c>
      <c r="O159" s="25" t="s">
        <v>208</v>
      </c>
      <c r="P159" s="112" t="s">
        <v>181</v>
      </c>
      <c r="Q159" s="24" t="s">
        <v>229</v>
      </c>
      <c r="R159" s="82">
        <f>Tabla1[[#This Row],[Origin Date ]]+3</f>
        <v>45773</v>
      </c>
      <c r="S159" s="2"/>
      <c r="T159" s="88" t="str">
        <f t="shared" si="36"/>
        <v>-</v>
      </c>
      <c r="U159" s="148" t="str">
        <f t="shared" ca="1" si="32"/>
        <v>Atrasada</v>
      </c>
      <c r="V159" s="24" t="str">
        <f t="shared" si="33"/>
        <v>Abierta</v>
      </c>
      <c r="W159" s="51">
        <v>0.6</v>
      </c>
      <c r="X159" s="54" t="s">
        <v>665</v>
      </c>
      <c r="Y159" s="28" t="s">
        <v>58</v>
      </c>
      <c r="Z159" s="78">
        <v>365</v>
      </c>
      <c r="AA159" s="36" t="s">
        <v>49</v>
      </c>
      <c r="AB159" s="52">
        <f>Tabla1[[#This Row],[Fecha de Entrega
End Date]]+$Z159</f>
        <v>365</v>
      </c>
      <c r="AC159" s="44"/>
      <c r="AD159" s="53" t="s">
        <v>585</v>
      </c>
      <c r="AE159" s="37" t="s">
        <v>485</v>
      </c>
    </row>
    <row r="160" spans="1:31" ht="48.75" customHeight="1" x14ac:dyDescent="0.3">
      <c r="A160" s="2">
        <v>45770</v>
      </c>
      <c r="B160" s="111">
        <f t="shared" si="34"/>
        <v>156</v>
      </c>
      <c r="C160" s="22"/>
      <c r="D160" s="22"/>
      <c r="E160" s="21" t="s">
        <v>672</v>
      </c>
      <c r="F160" s="21" t="s">
        <v>663</v>
      </c>
      <c r="G160" s="81" t="s">
        <v>537</v>
      </c>
      <c r="H160" s="127" t="str">
        <f t="shared" si="35"/>
        <v>ATENDIDO</v>
      </c>
      <c r="I160" s="24" t="s">
        <v>97</v>
      </c>
      <c r="J160" s="24" t="s">
        <v>10</v>
      </c>
      <c r="K160" s="24" t="s">
        <v>124</v>
      </c>
      <c r="L160" s="24" t="s">
        <v>87</v>
      </c>
      <c r="M160" s="24" t="s">
        <v>95</v>
      </c>
      <c r="N160" s="24" t="s">
        <v>185</v>
      </c>
      <c r="O160" s="25" t="s">
        <v>208</v>
      </c>
      <c r="P160" s="112" t="s">
        <v>181</v>
      </c>
      <c r="Q160" s="24" t="s">
        <v>93</v>
      </c>
      <c r="R160" s="82">
        <f>Tabla1[[#This Row],[Origin Date ]]+3</f>
        <v>45773</v>
      </c>
      <c r="S160" s="2">
        <v>45771</v>
      </c>
      <c r="T160" s="88">
        <f t="shared" si="36"/>
        <v>-2</v>
      </c>
      <c r="U160" s="148" t="str">
        <f t="shared" si="32"/>
        <v>Realizada a Tiempo</v>
      </c>
      <c r="V160" s="24" t="str">
        <f t="shared" si="33"/>
        <v>Cerrada</v>
      </c>
      <c r="W160" s="51">
        <v>1</v>
      </c>
      <c r="X160" s="54" t="s">
        <v>664</v>
      </c>
      <c r="Y160" s="28" t="s">
        <v>58</v>
      </c>
      <c r="Z160" s="78">
        <v>365</v>
      </c>
      <c r="AA160" s="36" t="s">
        <v>52</v>
      </c>
      <c r="AB160" s="52">
        <f>Tabla1[[#This Row],[Fecha de Entrega
End Date]]+$Z160</f>
        <v>46136</v>
      </c>
      <c r="AC160" s="44"/>
      <c r="AD160" s="53" t="s">
        <v>386</v>
      </c>
      <c r="AE160" s="37" t="s">
        <v>660</v>
      </c>
    </row>
    <row r="161" spans="1:31" ht="39" customHeight="1" x14ac:dyDescent="0.3">
      <c r="A161" s="2">
        <v>45775</v>
      </c>
      <c r="B161" s="111">
        <f t="shared" si="34"/>
        <v>157</v>
      </c>
      <c r="C161" s="22"/>
      <c r="D161" s="22"/>
      <c r="E161" s="21" t="s">
        <v>684</v>
      </c>
      <c r="F161" s="21" t="s">
        <v>677</v>
      </c>
      <c r="G161" s="81" t="s">
        <v>574</v>
      </c>
      <c r="H161" s="127" t="str">
        <f t="shared" si="35"/>
        <v>ATENDIDO</v>
      </c>
      <c r="I161" s="24" t="s">
        <v>21</v>
      </c>
      <c r="J161" s="24" t="s">
        <v>10</v>
      </c>
      <c r="K161" s="24" t="s">
        <v>116</v>
      </c>
      <c r="L161" s="24" t="s">
        <v>87</v>
      </c>
      <c r="M161" s="24" t="s">
        <v>95</v>
      </c>
      <c r="N161" s="24" t="s">
        <v>209</v>
      </c>
      <c r="O161" s="25" t="s">
        <v>208</v>
      </c>
      <c r="P161" s="112" t="s">
        <v>73</v>
      </c>
      <c r="Q161" s="24" t="s">
        <v>320</v>
      </c>
      <c r="R161" s="82">
        <f>Tabla1[[#This Row],[Origin Date ]]+3</f>
        <v>45778</v>
      </c>
      <c r="S161" s="2">
        <v>45776</v>
      </c>
      <c r="T161" s="88">
        <f t="shared" si="36"/>
        <v>-2</v>
      </c>
      <c r="U161" s="148" t="str">
        <f t="shared" si="32"/>
        <v>Realizada a Tiempo</v>
      </c>
      <c r="V161" s="24" t="str">
        <f t="shared" si="33"/>
        <v>Cerrada</v>
      </c>
      <c r="W161" s="51">
        <v>1</v>
      </c>
      <c r="X161" s="54" t="s">
        <v>682</v>
      </c>
      <c r="Y161" s="28" t="s">
        <v>58</v>
      </c>
      <c r="Z161" s="78">
        <v>365</v>
      </c>
      <c r="AA161" s="36" t="s">
        <v>52</v>
      </c>
      <c r="AB161" s="52">
        <f>Tabla1[[#This Row],[Fecha de Entrega
End Date]]+$Z161</f>
        <v>46141</v>
      </c>
      <c r="AC161" s="44"/>
      <c r="AD161" s="53" t="s">
        <v>386</v>
      </c>
      <c r="AE161" s="37" t="s">
        <v>485</v>
      </c>
    </row>
    <row r="162" spans="1:31" ht="51.75" customHeight="1" x14ac:dyDescent="0.3">
      <c r="A162" s="2">
        <v>45775</v>
      </c>
      <c r="B162" s="111">
        <f t="shared" si="34"/>
        <v>158</v>
      </c>
      <c r="C162" s="22"/>
      <c r="D162" s="22"/>
      <c r="E162" s="21" t="s">
        <v>685</v>
      </c>
      <c r="F162" s="21" t="s">
        <v>686</v>
      </c>
      <c r="G162" s="81" t="s">
        <v>574</v>
      </c>
      <c r="H162" s="127" t="str">
        <f t="shared" si="35"/>
        <v>ATENDIDO</v>
      </c>
      <c r="I162" s="24" t="s">
        <v>21</v>
      </c>
      <c r="J162" s="24" t="s">
        <v>16</v>
      </c>
      <c r="K162" s="24" t="s">
        <v>116</v>
      </c>
      <c r="L162" s="24" t="s">
        <v>87</v>
      </c>
      <c r="M162" s="24" t="s">
        <v>95</v>
      </c>
      <c r="N162" s="24" t="s">
        <v>209</v>
      </c>
      <c r="O162" s="25" t="s">
        <v>208</v>
      </c>
      <c r="P162" s="112" t="s">
        <v>73</v>
      </c>
      <c r="Q162" s="24" t="s">
        <v>320</v>
      </c>
      <c r="R162" s="82">
        <f>Tabla1[[#This Row],[Origin Date ]]+3</f>
        <v>45778</v>
      </c>
      <c r="S162" s="2">
        <v>45776</v>
      </c>
      <c r="T162" s="88">
        <f t="shared" si="36"/>
        <v>-2</v>
      </c>
      <c r="U162" s="148" t="str">
        <f t="shared" si="32"/>
        <v>Realizada a Tiempo</v>
      </c>
      <c r="V162" s="24" t="str">
        <f t="shared" si="33"/>
        <v>Cerrada</v>
      </c>
      <c r="W162" s="51">
        <v>1</v>
      </c>
      <c r="X162" s="54" t="s">
        <v>689</v>
      </c>
      <c r="Y162" s="28" t="s">
        <v>58</v>
      </c>
      <c r="Z162" s="78">
        <v>365</v>
      </c>
      <c r="AA162" s="36" t="s">
        <v>52</v>
      </c>
      <c r="AB162" s="52">
        <f>Tabla1[[#This Row],[Fecha de Entrega
End Date]]+$Z162</f>
        <v>46141</v>
      </c>
      <c r="AC162" s="45" t="s">
        <v>688</v>
      </c>
      <c r="AD162" s="53" t="s">
        <v>386</v>
      </c>
      <c r="AE162" s="37" t="s">
        <v>485</v>
      </c>
    </row>
    <row r="163" spans="1:31" ht="27" customHeight="1" x14ac:dyDescent="0.3">
      <c r="A163" s="2">
        <v>45782</v>
      </c>
      <c r="B163" s="111">
        <f t="shared" si="34"/>
        <v>159</v>
      </c>
      <c r="C163" s="22"/>
      <c r="D163" s="22"/>
      <c r="E163" s="21" t="s">
        <v>690</v>
      </c>
      <c r="F163" s="21" t="s">
        <v>683</v>
      </c>
      <c r="G163" s="81" t="s">
        <v>703</v>
      </c>
      <c r="H163" s="127" t="str">
        <f t="shared" si="35"/>
        <v>ATENDIDO</v>
      </c>
      <c r="I163" s="24" t="s">
        <v>97</v>
      </c>
      <c r="J163" s="24" t="s">
        <v>10</v>
      </c>
      <c r="K163" s="24" t="s">
        <v>60</v>
      </c>
      <c r="L163" s="24" t="s">
        <v>77</v>
      </c>
      <c r="M163" s="24" t="s">
        <v>94</v>
      </c>
      <c r="N163" s="24" t="s">
        <v>185</v>
      </c>
      <c r="O163" s="25" t="s">
        <v>208</v>
      </c>
      <c r="P163" s="112" t="s">
        <v>687</v>
      </c>
      <c r="Q163" s="24" t="s">
        <v>320</v>
      </c>
      <c r="R163" s="82">
        <f>Tabla1[[#This Row],[Origin Date ]]+3</f>
        <v>45785</v>
      </c>
      <c r="S163" s="2">
        <v>45785</v>
      </c>
      <c r="T163" s="88">
        <f t="shared" si="36"/>
        <v>0</v>
      </c>
      <c r="U163" s="148" t="str">
        <f t="shared" si="32"/>
        <v>Realizada a Tiempo</v>
      </c>
      <c r="V163" s="24" t="str">
        <f t="shared" si="33"/>
        <v>Cerrada</v>
      </c>
      <c r="W163" s="51">
        <v>1</v>
      </c>
      <c r="X163" s="54" t="s">
        <v>701</v>
      </c>
      <c r="Y163" s="28" t="s">
        <v>58</v>
      </c>
      <c r="Z163" s="78">
        <v>365</v>
      </c>
      <c r="AA163" s="36" t="s">
        <v>52</v>
      </c>
      <c r="AB163" s="52">
        <f>Tabla1[[#This Row],[Fecha de Entrega
End Date]]+$Z163</f>
        <v>46150</v>
      </c>
      <c r="AC163" s="44"/>
      <c r="AD163" s="53" t="s">
        <v>386</v>
      </c>
      <c r="AE163" s="37"/>
    </row>
    <row r="164" spans="1:31" ht="31.5" customHeight="1" x14ac:dyDescent="0.3">
      <c r="A164" s="2">
        <v>45782</v>
      </c>
      <c r="B164" s="111">
        <f t="shared" ref="B164:B173" si="37">IF(A164&lt;&gt;"",1+B163,"")</f>
        <v>160</v>
      </c>
      <c r="C164" s="22"/>
      <c r="D164" s="22"/>
      <c r="E164" s="21" t="s">
        <v>691</v>
      </c>
      <c r="F164" s="21" t="s">
        <v>700</v>
      </c>
      <c r="G164" s="81" t="s">
        <v>703</v>
      </c>
      <c r="H164" s="127" t="str">
        <f t="shared" ref="H164:H173" si="38">IF((A164=""),"",IF((V164="Cerrada"),"ATENDIDO",IF(OR((($AA$2-A164)=0),(($AA$2-A164)=-1),(($AA$2-A164)=-2),(($AA$2-A164)=-3)),"BAJO",IF((T164="-3"),"MEDIO","ALTA"))))</f>
        <v>ATENDIDO</v>
      </c>
      <c r="I164" s="24" t="s">
        <v>97</v>
      </c>
      <c r="J164" s="24" t="s">
        <v>10</v>
      </c>
      <c r="K164" s="24" t="s">
        <v>60</v>
      </c>
      <c r="L164" s="24" t="s">
        <v>77</v>
      </c>
      <c r="M164" s="24" t="s">
        <v>94</v>
      </c>
      <c r="N164" s="24" t="s">
        <v>185</v>
      </c>
      <c r="O164" s="25" t="s">
        <v>208</v>
      </c>
      <c r="P164" s="112" t="s">
        <v>687</v>
      </c>
      <c r="Q164" s="24" t="s">
        <v>320</v>
      </c>
      <c r="R164" s="82">
        <f>Tabla1[[#This Row],[Origin Date ]]+3</f>
        <v>45785</v>
      </c>
      <c r="S164" s="2">
        <v>45785</v>
      </c>
      <c r="T164" s="88">
        <f t="shared" ref="T164:T173" si="39">IF((R164=""),"",IF((V164="Cerrada"),(S164-R164),IF((($AA$2-R164)&lt;=0),"-",($AA$2-R164))))</f>
        <v>0</v>
      </c>
      <c r="U164" s="148" t="str">
        <f t="shared" si="32"/>
        <v>Realizada a Tiempo</v>
      </c>
      <c r="V164" s="24" t="str">
        <f t="shared" si="33"/>
        <v>Cerrada</v>
      </c>
      <c r="W164" s="51">
        <v>1</v>
      </c>
      <c r="X164" s="54" t="s">
        <v>702</v>
      </c>
      <c r="Y164" s="28" t="s">
        <v>58</v>
      </c>
      <c r="Z164" s="78">
        <v>365</v>
      </c>
      <c r="AA164" s="36" t="s">
        <v>50</v>
      </c>
      <c r="AB164" s="52">
        <f>Tabla1[[#This Row],[Fecha de Entrega
End Date]]+$Z164</f>
        <v>46150</v>
      </c>
      <c r="AC164" s="44"/>
      <c r="AD164" s="53" t="s">
        <v>386</v>
      </c>
      <c r="AE164" s="37"/>
    </row>
    <row r="165" spans="1:31" ht="27.75" customHeight="1" x14ac:dyDescent="0.3">
      <c r="A165" s="2">
        <v>45779</v>
      </c>
      <c r="B165" s="111">
        <f t="shared" si="37"/>
        <v>161</v>
      </c>
      <c r="C165" s="22"/>
      <c r="D165" s="22"/>
      <c r="E165" s="21" t="s">
        <v>697</v>
      </c>
      <c r="F165" s="21" t="s">
        <v>692</v>
      </c>
      <c r="G165" s="81" t="s">
        <v>537</v>
      </c>
      <c r="H165" s="127" t="str">
        <f t="shared" si="38"/>
        <v>ATENDIDO</v>
      </c>
      <c r="I165" s="24" t="s">
        <v>21</v>
      </c>
      <c r="J165" s="24" t="s">
        <v>9</v>
      </c>
      <c r="K165" s="24" t="s">
        <v>124</v>
      </c>
      <c r="L165" s="24" t="s">
        <v>77</v>
      </c>
      <c r="M165" s="24" t="s">
        <v>95</v>
      </c>
      <c r="N165" s="24" t="s">
        <v>185</v>
      </c>
      <c r="O165" s="25" t="s">
        <v>208</v>
      </c>
      <c r="P165" s="112" t="s">
        <v>181</v>
      </c>
      <c r="Q165" s="24" t="s">
        <v>93</v>
      </c>
      <c r="R165" s="82">
        <f>Tabla1[[#This Row],[Origin Date ]]+3</f>
        <v>45782</v>
      </c>
      <c r="S165" s="2">
        <v>45782</v>
      </c>
      <c r="T165" s="88">
        <f t="shared" si="39"/>
        <v>0</v>
      </c>
      <c r="U165" s="148" t="str">
        <f t="shared" si="32"/>
        <v>Realizada a Tiempo</v>
      </c>
      <c r="V165" s="24" t="str">
        <f t="shared" si="33"/>
        <v>Cerrada</v>
      </c>
      <c r="W165" s="51">
        <v>0.5</v>
      </c>
      <c r="X165" s="54"/>
      <c r="Y165" s="28" t="s">
        <v>58</v>
      </c>
      <c r="Z165" s="78">
        <v>365</v>
      </c>
      <c r="AA165" s="36" t="s">
        <v>50</v>
      </c>
      <c r="AB165" s="52">
        <f>Tabla1[[#This Row],[Fecha de Entrega
End Date]]+$Z165</f>
        <v>46147</v>
      </c>
      <c r="AC165" s="44"/>
      <c r="AD165" s="53" t="s">
        <v>386</v>
      </c>
      <c r="AE165" s="37" t="s">
        <v>917</v>
      </c>
    </row>
    <row r="166" spans="1:31" ht="39.75" customHeight="1" x14ac:dyDescent="0.3">
      <c r="A166" s="2">
        <v>45782</v>
      </c>
      <c r="B166" s="111">
        <f t="shared" si="37"/>
        <v>162</v>
      </c>
      <c r="C166" s="22"/>
      <c r="D166" s="22"/>
      <c r="E166" s="21" t="s">
        <v>698</v>
      </c>
      <c r="F166" s="21" t="s">
        <v>694</v>
      </c>
      <c r="G166" s="81" t="s">
        <v>537</v>
      </c>
      <c r="H166" s="127" t="str">
        <f t="shared" si="38"/>
        <v>ALTA</v>
      </c>
      <c r="I166" s="24" t="s">
        <v>21</v>
      </c>
      <c r="J166" s="24" t="s">
        <v>16</v>
      </c>
      <c r="K166" s="24" t="s">
        <v>124</v>
      </c>
      <c r="L166" s="24" t="s">
        <v>77</v>
      </c>
      <c r="M166" s="24" t="s">
        <v>85</v>
      </c>
      <c r="N166" s="24" t="s">
        <v>185</v>
      </c>
      <c r="O166" s="25" t="s">
        <v>208</v>
      </c>
      <c r="P166" s="112" t="s">
        <v>463</v>
      </c>
      <c r="Q166" s="24" t="s">
        <v>320</v>
      </c>
      <c r="R166" s="82">
        <f>Tabla1[[#This Row],[Origin Date ]]+3</f>
        <v>45785</v>
      </c>
      <c r="S166" s="2"/>
      <c r="T166" s="88" t="str">
        <f t="shared" si="39"/>
        <v>-</v>
      </c>
      <c r="U166" s="148" t="str">
        <f t="shared" ca="1" si="32"/>
        <v>Atrasada</v>
      </c>
      <c r="V166" s="24" t="str">
        <f t="shared" si="33"/>
        <v>Abierta</v>
      </c>
      <c r="W166" s="51">
        <v>0.2</v>
      </c>
      <c r="X166" s="54"/>
      <c r="Y166" s="28" t="s">
        <v>58</v>
      </c>
      <c r="Z166" s="78">
        <v>365</v>
      </c>
      <c r="AA166" s="36" t="s">
        <v>50</v>
      </c>
      <c r="AB166" s="52">
        <f>Tabla1[[#This Row],[Fecha de Entrega
End Date]]+$Z166</f>
        <v>365</v>
      </c>
      <c r="AC166" s="44"/>
      <c r="AD166" s="53" t="s">
        <v>585</v>
      </c>
      <c r="AE166" s="37"/>
    </row>
    <row r="167" spans="1:31" ht="35.25" customHeight="1" x14ac:dyDescent="0.3">
      <c r="A167" s="2">
        <v>45784</v>
      </c>
      <c r="B167" s="111">
        <f t="shared" si="37"/>
        <v>163</v>
      </c>
      <c r="C167" s="22"/>
      <c r="D167" s="22"/>
      <c r="E167" s="21" t="s">
        <v>699</v>
      </c>
      <c r="F167" s="21" t="s">
        <v>696</v>
      </c>
      <c r="G167" s="81" t="s">
        <v>537</v>
      </c>
      <c r="H167" s="127" t="str">
        <f t="shared" si="38"/>
        <v>ATENDIDO</v>
      </c>
      <c r="I167" s="24" t="s">
        <v>21</v>
      </c>
      <c r="J167" s="24" t="s">
        <v>16</v>
      </c>
      <c r="K167" s="24" t="s">
        <v>124</v>
      </c>
      <c r="L167" s="24" t="s">
        <v>77</v>
      </c>
      <c r="M167" s="24" t="s">
        <v>95</v>
      </c>
      <c r="N167" s="24" t="s">
        <v>185</v>
      </c>
      <c r="O167" s="25" t="s">
        <v>208</v>
      </c>
      <c r="P167" s="112" t="s">
        <v>463</v>
      </c>
      <c r="Q167" s="24" t="s">
        <v>320</v>
      </c>
      <c r="R167" s="82">
        <f>Tabla1[[#This Row],[Origin Date ]]+3</f>
        <v>45787</v>
      </c>
      <c r="S167" s="2">
        <v>45784</v>
      </c>
      <c r="T167" s="88">
        <f t="shared" si="39"/>
        <v>-3</v>
      </c>
      <c r="U167" s="148" t="str">
        <f t="shared" si="32"/>
        <v>Realizada a Tiempo</v>
      </c>
      <c r="V167" s="24" t="str">
        <f t="shared" si="33"/>
        <v>Cerrada</v>
      </c>
      <c r="W167" s="51">
        <v>0.9</v>
      </c>
      <c r="X167" s="54"/>
      <c r="Y167" s="28" t="s">
        <v>58</v>
      </c>
      <c r="Z167" s="78">
        <v>365</v>
      </c>
      <c r="AA167" s="36" t="s">
        <v>50</v>
      </c>
      <c r="AB167" s="52">
        <f>Tabla1[[#This Row],[Fecha de Entrega
End Date]]+$Z167</f>
        <v>46149</v>
      </c>
      <c r="AC167" s="44"/>
      <c r="AD167" s="53" t="s">
        <v>386</v>
      </c>
      <c r="AE167" s="37"/>
    </row>
    <row r="168" spans="1:31" ht="35.25" customHeight="1" x14ac:dyDescent="0.3">
      <c r="A168" s="2">
        <v>45786</v>
      </c>
      <c r="B168" s="111">
        <f t="shared" si="37"/>
        <v>164</v>
      </c>
      <c r="C168" s="22"/>
      <c r="D168" s="22"/>
      <c r="E168" s="21" t="s">
        <v>715</v>
      </c>
      <c r="F168" s="21" t="s">
        <v>704</v>
      </c>
      <c r="G168" s="81" t="s">
        <v>705</v>
      </c>
      <c r="H168" s="127" t="str">
        <f t="shared" si="38"/>
        <v>ATENDIDO</v>
      </c>
      <c r="I168" s="24" t="s">
        <v>20</v>
      </c>
      <c r="J168" s="24" t="s">
        <v>10</v>
      </c>
      <c r="K168" s="24" t="s">
        <v>60</v>
      </c>
      <c r="L168" s="24" t="s">
        <v>77</v>
      </c>
      <c r="M168" s="24" t="s">
        <v>82</v>
      </c>
      <c r="N168" s="24" t="s">
        <v>185</v>
      </c>
      <c r="O168" s="25" t="s">
        <v>208</v>
      </c>
      <c r="P168" s="112" t="s">
        <v>687</v>
      </c>
      <c r="Q168" s="24" t="s">
        <v>320</v>
      </c>
      <c r="R168" s="82">
        <f>Tabla1[[#This Row],[Origin Date ]]+3</f>
        <v>45789</v>
      </c>
      <c r="S168" s="2">
        <v>45789</v>
      </c>
      <c r="T168" s="88">
        <f t="shared" si="39"/>
        <v>0</v>
      </c>
      <c r="U168" s="148" t="str">
        <f t="shared" si="32"/>
        <v>Realizada a Tiempo</v>
      </c>
      <c r="V168" s="24" t="str">
        <f t="shared" si="33"/>
        <v>Cerrada</v>
      </c>
      <c r="W168" s="51">
        <v>1</v>
      </c>
      <c r="X168" s="54"/>
      <c r="Y168" s="28" t="s">
        <v>58</v>
      </c>
      <c r="Z168" s="78">
        <v>365</v>
      </c>
      <c r="AA168" s="36" t="s">
        <v>50</v>
      </c>
      <c r="AB168" s="52">
        <f>Tabla1[[#This Row],[Fecha de Entrega
End Date]]+$Z168</f>
        <v>46154</v>
      </c>
      <c r="AC168" s="44"/>
      <c r="AD168" s="53" t="s">
        <v>386</v>
      </c>
      <c r="AE168" s="37"/>
    </row>
    <row r="169" spans="1:31" ht="31.5" customHeight="1" x14ac:dyDescent="0.3">
      <c r="A169" s="2">
        <v>45787</v>
      </c>
      <c r="B169" s="111">
        <f t="shared" si="37"/>
        <v>165</v>
      </c>
      <c r="C169" s="22"/>
      <c r="D169" s="22"/>
      <c r="E169" s="21" t="s">
        <v>716</v>
      </c>
      <c r="F169" s="21" t="s">
        <v>706</v>
      </c>
      <c r="G169" s="81" t="s">
        <v>705</v>
      </c>
      <c r="H169" s="127" t="str">
        <f t="shared" si="38"/>
        <v>ATENDIDO</v>
      </c>
      <c r="I169" s="24" t="s">
        <v>20</v>
      </c>
      <c r="J169" s="24" t="s">
        <v>10</v>
      </c>
      <c r="K169" s="24" t="s">
        <v>60</v>
      </c>
      <c r="L169" s="24" t="s">
        <v>77</v>
      </c>
      <c r="M169" s="24" t="s">
        <v>86</v>
      </c>
      <c r="N169" s="24" t="s">
        <v>185</v>
      </c>
      <c r="O169" s="25" t="s">
        <v>208</v>
      </c>
      <c r="P169" s="112" t="s">
        <v>687</v>
      </c>
      <c r="Q169" s="24" t="s">
        <v>229</v>
      </c>
      <c r="R169" s="82">
        <f>Tabla1[[#This Row],[Origin Date ]]+3</f>
        <v>45790</v>
      </c>
      <c r="S169" s="2">
        <v>45792</v>
      </c>
      <c r="T169" s="88">
        <f t="shared" si="39"/>
        <v>2</v>
      </c>
      <c r="U169" s="148" t="str">
        <f t="shared" si="32"/>
        <v>Realizada a Tiempo</v>
      </c>
      <c r="V169" s="24" t="str">
        <f t="shared" si="33"/>
        <v>Cerrada</v>
      </c>
      <c r="W169" s="51">
        <v>0.9</v>
      </c>
      <c r="X169" s="54"/>
      <c r="Y169" s="28" t="s">
        <v>58</v>
      </c>
      <c r="Z169" s="78">
        <v>365</v>
      </c>
      <c r="AA169" s="36" t="s">
        <v>50</v>
      </c>
      <c r="AB169" s="52">
        <f>Tabla1[[#This Row],[Fecha de Entrega
End Date]]+$Z169</f>
        <v>46157</v>
      </c>
      <c r="AC169" s="44"/>
      <c r="AD169" s="53" t="s">
        <v>386</v>
      </c>
      <c r="AE169" s="37"/>
    </row>
    <row r="170" spans="1:31" ht="41.25" customHeight="1" x14ac:dyDescent="0.3">
      <c r="A170" s="2">
        <v>45786</v>
      </c>
      <c r="B170" s="111">
        <f t="shared" si="37"/>
        <v>166</v>
      </c>
      <c r="C170" s="22"/>
      <c r="D170" s="22"/>
      <c r="E170" s="21" t="s">
        <v>717</v>
      </c>
      <c r="F170" s="21" t="s">
        <v>707</v>
      </c>
      <c r="G170" s="81" t="s">
        <v>705</v>
      </c>
      <c r="H170" s="127" t="str">
        <f t="shared" si="38"/>
        <v>ATENDIDO</v>
      </c>
      <c r="I170" s="24" t="s">
        <v>20</v>
      </c>
      <c r="J170" s="24" t="s">
        <v>10</v>
      </c>
      <c r="K170" s="24" t="s">
        <v>60</v>
      </c>
      <c r="L170" s="24" t="s">
        <v>77</v>
      </c>
      <c r="M170" s="24" t="s">
        <v>95</v>
      </c>
      <c r="N170" s="24" t="s">
        <v>185</v>
      </c>
      <c r="O170" s="25" t="s">
        <v>208</v>
      </c>
      <c r="P170" s="112" t="s">
        <v>687</v>
      </c>
      <c r="Q170" s="24" t="s">
        <v>320</v>
      </c>
      <c r="R170" s="82">
        <f>Tabla1[[#This Row],[Origin Date ]]+3</f>
        <v>45789</v>
      </c>
      <c r="S170" s="2">
        <v>45791</v>
      </c>
      <c r="T170" s="88">
        <f t="shared" si="39"/>
        <v>2</v>
      </c>
      <c r="U170" s="148" t="str">
        <f t="shared" si="32"/>
        <v>Realizada a Tiempo</v>
      </c>
      <c r="V170" s="24" t="str">
        <f t="shared" si="33"/>
        <v>Cerrada</v>
      </c>
      <c r="W170" s="51">
        <v>1</v>
      </c>
      <c r="X170" s="54"/>
      <c r="Y170" s="28" t="s">
        <v>58</v>
      </c>
      <c r="Z170" s="78">
        <v>365</v>
      </c>
      <c r="AA170" s="36" t="s">
        <v>50</v>
      </c>
      <c r="AB170" s="52">
        <f>Tabla1[[#This Row],[Fecha de Entrega
End Date]]+$Z170</f>
        <v>46156</v>
      </c>
      <c r="AC170" s="44"/>
      <c r="AD170" s="53" t="s">
        <v>386</v>
      </c>
      <c r="AE170" s="37"/>
    </row>
    <row r="171" spans="1:31" ht="30.75" customHeight="1" x14ac:dyDescent="0.3">
      <c r="A171" s="2">
        <v>45787</v>
      </c>
      <c r="B171" s="111">
        <f t="shared" si="37"/>
        <v>167</v>
      </c>
      <c r="C171" s="22"/>
      <c r="D171" s="22"/>
      <c r="E171" s="21" t="s">
        <v>718</v>
      </c>
      <c r="F171" s="21" t="s">
        <v>708</v>
      </c>
      <c r="G171" s="81" t="s">
        <v>705</v>
      </c>
      <c r="H171" s="127" t="str">
        <f t="shared" si="38"/>
        <v>ALTA</v>
      </c>
      <c r="I171" s="24" t="s">
        <v>20</v>
      </c>
      <c r="J171" s="24" t="s">
        <v>10</v>
      </c>
      <c r="K171" s="24" t="s">
        <v>60</v>
      </c>
      <c r="L171" s="24" t="s">
        <v>77</v>
      </c>
      <c r="M171" s="24" t="s">
        <v>86</v>
      </c>
      <c r="N171" s="24" t="s">
        <v>185</v>
      </c>
      <c r="O171" s="25" t="s">
        <v>208</v>
      </c>
      <c r="P171" s="112" t="s">
        <v>687</v>
      </c>
      <c r="Q171" s="24" t="s">
        <v>72</v>
      </c>
      <c r="R171" s="82">
        <f>Tabla1[[#This Row],[Origin Date ]]+3</f>
        <v>45790</v>
      </c>
      <c r="S171" s="2"/>
      <c r="T171" s="88" t="str">
        <f t="shared" si="39"/>
        <v>-</v>
      </c>
      <c r="U171" s="148" t="str">
        <f t="shared" ca="1" si="32"/>
        <v>Atrasada</v>
      </c>
      <c r="V171" s="24" t="str">
        <f t="shared" si="33"/>
        <v>Abierta</v>
      </c>
      <c r="W171" s="51">
        <v>0.2</v>
      </c>
      <c r="X171" s="54"/>
      <c r="Y171" s="28" t="s">
        <v>58</v>
      </c>
      <c r="Z171" s="78">
        <v>365</v>
      </c>
      <c r="AA171" s="36" t="s">
        <v>50</v>
      </c>
      <c r="AB171" s="52">
        <f>Tabla1[[#This Row],[Fecha de Entrega
End Date]]+$Z171</f>
        <v>365</v>
      </c>
      <c r="AC171" s="44"/>
      <c r="AD171" s="53" t="s">
        <v>585</v>
      </c>
      <c r="AE171" s="37"/>
    </row>
    <row r="172" spans="1:31" ht="37.5" customHeight="1" x14ac:dyDescent="0.3">
      <c r="A172" s="2">
        <v>45789</v>
      </c>
      <c r="B172" s="111">
        <f t="shared" si="37"/>
        <v>168</v>
      </c>
      <c r="C172" s="22"/>
      <c r="D172" s="22"/>
      <c r="E172" s="21" t="s">
        <v>719</v>
      </c>
      <c r="F172" s="21" t="s">
        <v>709</v>
      </c>
      <c r="G172" s="81" t="s">
        <v>574</v>
      </c>
      <c r="H172" s="127" t="str">
        <f t="shared" si="38"/>
        <v>ATENDIDO</v>
      </c>
      <c r="I172" s="24" t="s">
        <v>21</v>
      </c>
      <c r="J172" s="24" t="s">
        <v>16</v>
      </c>
      <c r="K172" s="24" t="s">
        <v>116</v>
      </c>
      <c r="L172" s="24" t="s">
        <v>77</v>
      </c>
      <c r="M172" s="24" t="s">
        <v>86</v>
      </c>
      <c r="N172" s="24" t="s">
        <v>185</v>
      </c>
      <c r="O172" s="25" t="s">
        <v>208</v>
      </c>
      <c r="P172" s="112" t="s">
        <v>463</v>
      </c>
      <c r="Q172" s="24" t="s">
        <v>229</v>
      </c>
      <c r="R172" s="82">
        <f>Tabla1[[#This Row],[Origin Date ]]+3</f>
        <v>45792</v>
      </c>
      <c r="S172" s="2">
        <v>45789</v>
      </c>
      <c r="T172" s="88">
        <f t="shared" si="39"/>
        <v>-3</v>
      </c>
      <c r="U172" s="148" t="str">
        <f t="shared" si="32"/>
        <v>Realizada a Tiempo</v>
      </c>
      <c r="V172" s="24" t="str">
        <f t="shared" si="33"/>
        <v>Cerrada</v>
      </c>
      <c r="W172" s="51">
        <v>1</v>
      </c>
      <c r="X172" s="54"/>
      <c r="Y172" s="28" t="s">
        <v>58</v>
      </c>
      <c r="Z172" s="78">
        <v>365</v>
      </c>
      <c r="AA172" s="36" t="s">
        <v>50</v>
      </c>
      <c r="AB172" s="52">
        <f>Tabla1[[#This Row],[Fecha de Entrega
End Date]]+$Z172</f>
        <v>46154</v>
      </c>
      <c r="AC172" s="44"/>
      <c r="AD172" s="53" t="s">
        <v>386</v>
      </c>
      <c r="AE172" s="37"/>
    </row>
    <row r="173" spans="1:31" ht="42.75" customHeight="1" x14ac:dyDescent="0.3">
      <c r="A173" s="2">
        <v>45789</v>
      </c>
      <c r="B173" s="111">
        <f t="shared" si="37"/>
        <v>169</v>
      </c>
      <c r="C173" s="22"/>
      <c r="D173" s="22"/>
      <c r="E173" s="21" t="s">
        <v>720</v>
      </c>
      <c r="F173" s="21" t="s">
        <v>710</v>
      </c>
      <c r="G173" s="81" t="s">
        <v>537</v>
      </c>
      <c r="H173" s="127" t="str">
        <f t="shared" si="38"/>
        <v>ATENDIDO</v>
      </c>
      <c r="I173" s="24" t="s">
        <v>21</v>
      </c>
      <c r="J173" s="24" t="s">
        <v>16</v>
      </c>
      <c r="K173" s="24" t="s">
        <v>124</v>
      </c>
      <c r="L173" s="24" t="s">
        <v>77</v>
      </c>
      <c r="M173" s="24" t="s">
        <v>86</v>
      </c>
      <c r="N173" s="24" t="s">
        <v>185</v>
      </c>
      <c r="O173" s="25" t="s">
        <v>208</v>
      </c>
      <c r="P173" s="112" t="s">
        <v>463</v>
      </c>
      <c r="Q173" s="24" t="s">
        <v>229</v>
      </c>
      <c r="R173" s="82">
        <f>Tabla1[[#This Row],[Origin Date ]]+3</f>
        <v>45792</v>
      </c>
      <c r="S173" s="2">
        <v>45792</v>
      </c>
      <c r="T173" s="88">
        <f t="shared" si="39"/>
        <v>0</v>
      </c>
      <c r="U173" s="148" t="str">
        <f t="shared" si="32"/>
        <v>Realizada a Tiempo</v>
      </c>
      <c r="V173" s="24" t="str">
        <f t="shared" si="33"/>
        <v>Cerrada</v>
      </c>
      <c r="W173" s="51">
        <v>1</v>
      </c>
      <c r="X173" s="54"/>
      <c r="Y173" s="28" t="s">
        <v>58</v>
      </c>
      <c r="Z173" s="78">
        <v>365</v>
      </c>
      <c r="AA173" s="36" t="s">
        <v>50</v>
      </c>
      <c r="AB173" s="52">
        <f>Tabla1[[#This Row],[Fecha de Entrega
End Date]]+$Z173</f>
        <v>46157</v>
      </c>
      <c r="AC173" s="44"/>
      <c r="AD173" s="53" t="s">
        <v>386</v>
      </c>
      <c r="AE173" s="37"/>
    </row>
    <row r="174" spans="1:31" ht="39.75" customHeight="1" x14ac:dyDescent="0.3">
      <c r="A174" s="2">
        <v>45790</v>
      </c>
      <c r="B174" s="111">
        <f t="shared" ref="B174:B180" si="40">IF(A174&lt;&gt;"",1+B173,"")</f>
        <v>170</v>
      </c>
      <c r="C174" s="22"/>
      <c r="D174" s="22"/>
      <c r="E174" s="21" t="s">
        <v>721</v>
      </c>
      <c r="F174" s="21" t="s">
        <v>711</v>
      </c>
      <c r="G174" s="81" t="s">
        <v>537</v>
      </c>
      <c r="H174" s="127" t="str">
        <f t="shared" ref="H174:H218" si="41">IF((A174=""),"",IF((V174="Cerrada"),"ATENDIDO",IF(OR((($AA$2-A174)=0),(($AA$2-A174)=-1),(($AA$2-A174)=-2),(($AA$2-A174)=-3)),"BAJO",IF((T174="-3"),"MEDIO","ALTA"))))</f>
        <v>ATENDIDO</v>
      </c>
      <c r="I174" s="24" t="s">
        <v>21</v>
      </c>
      <c r="J174" s="24" t="s">
        <v>16</v>
      </c>
      <c r="K174" s="24" t="s">
        <v>124</v>
      </c>
      <c r="L174" s="24" t="s">
        <v>77</v>
      </c>
      <c r="M174" s="24" t="s">
        <v>86</v>
      </c>
      <c r="N174" s="24" t="s">
        <v>185</v>
      </c>
      <c r="O174" s="25" t="s">
        <v>208</v>
      </c>
      <c r="P174" s="112" t="s">
        <v>463</v>
      </c>
      <c r="Q174" s="24" t="s">
        <v>229</v>
      </c>
      <c r="R174" s="82">
        <f>Tabla1[[#This Row],[Origin Date ]]+3</f>
        <v>45793</v>
      </c>
      <c r="S174" s="2">
        <v>45790</v>
      </c>
      <c r="T174" s="88">
        <f t="shared" ref="T174:T180" si="42">IF((R174=""),"",IF((V174="Cerrada"),(S174-R174),IF((($AA$2-R174)&lt;=0),"-",($AA$2-R174))))</f>
        <v>-3</v>
      </c>
      <c r="U174" s="148" t="str">
        <f t="shared" si="32"/>
        <v>Realizada a Tiempo</v>
      </c>
      <c r="V174" s="24" t="str">
        <f t="shared" si="33"/>
        <v>Cerrada</v>
      </c>
      <c r="W174" s="51">
        <v>1</v>
      </c>
      <c r="X174" s="54"/>
      <c r="Y174" s="28" t="s">
        <v>58</v>
      </c>
      <c r="Z174" s="78">
        <v>365</v>
      </c>
      <c r="AA174" s="36" t="s">
        <v>50</v>
      </c>
      <c r="AB174" s="52">
        <f>Tabla1[[#This Row],[Fecha de Entrega
End Date]]+$Z174</f>
        <v>46155</v>
      </c>
      <c r="AC174" s="44"/>
      <c r="AD174" s="53" t="s">
        <v>386</v>
      </c>
      <c r="AE174" s="37"/>
    </row>
    <row r="175" spans="1:31" ht="42.75" customHeight="1" x14ac:dyDescent="0.3">
      <c r="A175" s="2">
        <v>45790</v>
      </c>
      <c r="B175" s="111">
        <f t="shared" si="40"/>
        <v>171</v>
      </c>
      <c r="C175" s="22"/>
      <c r="D175" s="22"/>
      <c r="E175" s="21" t="s">
        <v>722</v>
      </c>
      <c r="F175" s="21" t="s">
        <v>712</v>
      </c>
      <c r="G175" s="81" t="s">
        <v>537</v>
      </c>
      <c r="H175" s="127" t="str">
        <f t="shared" si="41"/>
        <v>ATENDIDO</v>
      </c>
      <c r="I175" s="24" t="s">
        <v>21</v>
      </c>
      <c r="J175" s="24" t="s">
        <v>16</v>
      </c>
      <c r="K175" s="24" t="s">
        <v>124</v>
      </c>
      <c r="L175" s="24" t="s">
        <v>77</v>
      </c>
      <c r="M175" s="24" t="s">
        <v>86</v>
      </c>
      <c r="N175" s="24" t="s">
        <v>185</v>
      </c>
      <c r="O175" s="25" t="s">
        <v>208</v>
      </c>
      <c r="P175" s="112" t="s">
        <v>463</v>
      </c>
      <c r="Q175" s="24" t="s">
        <v>320</v>
      </c>
      <c r="R175" s="82">
        <f>Tabla1[[#This Row],[Origin Date ]]+3</f>
        <v>45793</v>
      </c>
      <c r="S175" s="2">
        <v>45790</v>
      </c>
      <c r="T175" s="88">
        <f t="shared" si="42"/>
        <v>-3</v>
      </c>
      <c r="U175" s="148" t="str">
        <f t="shared" si="32"/>
        <v>Realizada a Tiempo</v>
      </c>
      <c r="V175" s="24" t="str">
        <f t="shared" si="33"/>
        <v>Cerrada</v>
      </c>
      <c r="W175" s="51">
        <v>1</v>
      </c>
      <c r="X175" s="54"/>
      <c r="Y175" s="28" t="s">
        <v>58</v>
      </c>
      <c r="Z175" s="78">
        <v>365</v>
      </c>
      <c r="AA175" s="36" t="s">
        <v>50</v>
      </c>
      <c r="AB175" s="52">
        <f>Tabla1[[#This Row],[Fecha de Entrega
End Date]]+$Z175</f>
        <v>46155</v>
      </c>
      <c r="AC175" s="44"/>
      <c r="AD175" s="53" t="s">
        <v>386</v>
      </c>
      <c r="AE175" s="37"/>
    </row>
    <row r="176" spans="1:31" ht="29.25" customHeight="1" x14ac:dyDescent="0.3">
      <c r="A176" s="2">
        <v>45791</v>
      </c>
      <c r="B176" s="111">
        <f t="shared" si="40"/>
        <v>172</v>
      </c>
      <c r="C176" s="22"/>
      <c r="D176" s="22"/>
      <c r="E176" s="21" t="s">
        <v>723</v>
      </c>
      <c r="F176" s="21" t="s">
        <v>713</v>
      </c>
      <c r="G176" s="81" t="s">
        <v>537</v>
      </c>
      <c r="H176" s="127" t="str">
        <f t="shared" si="41"/>
        <v>ALTA</v>
      </c>
      <c r="I176" s="24" t="s">
        <v>21</v>
      </c>
      <c r="J176" s="24" t="s">
        <v>16</v>
      </c>
      <c r="K176" s="24" t="s">
        <v>124</v>
      </c>
      <c r="L176" s="24" t="s">
        <v>77</v>
      </c>
      <c r="M176" s="24" t="s">
        <v>86</v>
      </c>
      <c r="N176" s="24" t="s">
        <v>185</v>
      </c>
      <c r="O176" s="25" t="s">
        <v>208</v>
      </c>
      <c r="P176" s="112" t="s">
        <v>463</v>
      </c>
      <c r="Q176" s="24" t="s">
        <v>93</v>
      </c>
      <c r="R176" s="82">
        <f>Tabla1[[#This Row],[Origin Date ]]+3</f>
        <v>45794</v>
      </c>
      <c r="S176" s="2"/>
      <c r="T176" s="88" t="str">
        <f t="shared" si="42"/>
        <v>-</v>
      </c>
      <c r="U176" s="148" t="str">
        <f t="shared" ca="1" si="32"/>
        <v>Atrasada</v>
      </c>
      <c r="V176" s="24" t="str">
        <f t="shared" si="33"/>
        <v>Abierta</v>
      </c>
      <c r="W176" s="51">
        <v>0.2</v>
      </c>
      <c r="X176" s="54"/>
      <c r="Y176" s="28" t="s">
        <v>58</v>
      </c>
      <c r="Z176" s="78">
        <v>365</v>
      </c>
      <c r="AA176" s="36" t="s">
        <v>49</v>
      </c>
      <c r="AB176" s="52">
        <f>Tabla1[[#This Row],[Fecha de Entrega
End Date]]+$Z176</f>
        <v>365</v>
      </c>
      <c r="AC176" s="44"/>
      <c r="AD176" s="53" t="s">
        <v>585</v>
      </c>
      <c r="AE176" s="37"/>
    </row>
    <row r="177" spans="1:31" ht="38.25" customHeight="1" x14ac:dyDescent="0.3">
      <c r="A177" s="2">
        <v>45791</v>
      </c>
      <c r="B177" s="111">
        <f t="shared" si="40"/>
        <v>173</v>
      </c>
      <c r="C177" s="22"/>
      <c r="D177" s="22"/>
      <c r="E177" s="21" t="s">
        <v>724</v>
      </c>
      <c r="F177" s="21" t="s">
        <v>714</v>
      </c>
      <c r="G177" s="81" t="s">
        <v>537</v>
      </c>
      <c r="H177" s="127" t="str">
        <f t="shared" si="41"/>
        <v>ATENDIDO</v>
      </c>
      <c r="I177" s="24" t="s">
        <v>21</v>
      </c>
      <c r="J177" s="24" t="s">
        <v>16</v>
      </c>
      <c r="K177" s="24" t="s">
        <v>124</v>
      </c>
      <c r="L177" s="24" t="s">
        <v>77</v>
      </c>
      <c r="M177" s="24" t="s">
        <v>86</v>
      </c>
      <c r="N177" s="24" t="s">
        <v>185</v>
      </c>
      <c r="O177" s="25" t="s">
        <v>208</v>
      </c>
      <c r="P177" s="112" t="s">
        <v>463</v>
      </c>
      <c r="Q177" s="24" t="s">
        <v>229</v>
      </c>
      <c r="R177" s="82">
        <f>Tabla1[[#This Row],[Origin Date ]]+3</f>
        <v>45794</v>
      </c>
      <c r="S177" s="2">
        <v>45799</v>
      </c>
      <c r="T177" s="88">
        <f t="shared" si="42"/>
        <v>5</v>
      </c>
      <c r="U177" s="148" t="str">
        <f t="shared" si="32"/>
        <v>Realizada a Tiempo</v>
      </c>
      <c r="V177" s="24" t="str">
        <f t="shared" si="33"/>
        <v>Cerrada</v>
      </c>
      <c r="W177" s="51">
        <v>0.2</v>
      </c>
      <c r="X177" s="54" t="s">
        <v>756</v>
      </c>
      <c r="Y177" s="28" t="s">
        <v>58</v>
      </c>
      <c r="Z177" s="78">
        <v>365</v>
      </c>
      <c r="AA177" s="36" t="s">
        <v>52</v>
      </c>
      <c r="AB177" s="52">
        <f>Tabla1[[#This Row],[Fecha de Entrega
End Date]]+$Z177</f>
        <v>46164</v>
      </c>
      <c r="AC177" s="44"/>
      <c r="AD177" s="53" t="s">
        <v>385</v>
      </c>
      <c r="AE177" s="37"/>
    </row>
    <row r="178" spans="1:31" ht="29.25" customHeight="1" x14ac:dyDescent="0.3">
      <c r="A178" s="2">
        <v>45791</v>
      </c>
      <c r="B178" s="111">
        <f t="shared" si="40"/>
        <v>174</v>
      </c>
      <c r="C178" s="22"/>
      <c r="D178" s="22"/>
      <c r="E178" s="21" t="s">
        <v>729</v>
      </c>
      <c r="F178" s="21" t="s">
        <v>728</v>
      </c>
      <c r="G178" s="81" t="s">
        <v>552</v>
      </c>
      <c r="H178" s="127" t="str">
        <f t="shared" si="41"/>
        <v>ATENDIDO</v>
      </c>
      <c r="I178" s="24" t="s">
        <v>21</v>
      </c>
      <c r="J178" s="24" t="s">
        <v>16</v>
      </c>
      <c r="K178" s="24" t="s">
        <v>125</v>
      </c>
      <c r="L178" s="24" t="s">
        <v>77</v>
      </c>
      <c r="M178" s="24" t="s">
        <v>86</v>
      </c>
      <c r="N178" s="24" t="s">
        <v>185</v>
      </c>
      <c r="O178" s="25" t="s">
        <v>208</v>
      </c>
      <c r="P178" s="112" t="s">
        <v>319</v>
      </c>
      <c r="Q178" s="24" t="s">
        <v>93</v>
      </c>
      <c r="R178" s="82">
        <f>Tabla1[[#This Row],[Origin Date ]]+3</f>
        <v>45794</v>
      </c>
      <c r="S178" s="2">
        <v>45792</v>
      </c>
      <c r="T178" s="88">
        <f t="shared" si="42"/>
        <v>-2</v>
      </c>
      <c r="U178" s="148" t="str">
        <f t="shared" si="32"/>
        <v>Realizada a Tiempo</v>
      </c>
      <c r="V178" s="24" t="str">
        <f t="shared" si="33"/>
        <v>Cerrada</v>
      </c>
      <c r="W178" s="51">
        <v>1</v>
      </c>
      <c r="X178" s="54"/>
      <c r="Y178" s="28" t="s">
        <v>58</v>
      </c>
      <c r="Z178" s="78">
        <v>365</v>
      </c>
      <c r="AA178" s="36" t="s">
        <v>50</v>
      </c>
      <c r="AB178" s="52">
        <f>Tabla1[[#This Row],[Fecha de Entrega
End Date]]+$Z178</f>
        <v>46157</v>
      </c>
      <c r="AC178" s="84" t="s">
        <v>915</v>
      </c>
      <c r="AD178" s="53" t="s">
        <v>386</v>
      </c>
      <c r="AE178" s="37" t="s">
        <v>916</v>
      </c>
    </row>
    <row r="179" spans="1:31" ht="48.75" customHeight="1" x14ac:dyDescent="0.3">
      <c r="A179" s="2">
        <v>45796</v>
      </c>
      <c r="B179" s="111">
        <f t="shared" si="40"/>
        <v>175</v>
      </c>
      <c r="C179" s="22"/>
      <c r="D179" s="22"/>
      <c r="E179" s="21" t="s">
        <v>736</v>
      </c>
      <c r="F179" s="21" t="s">
        <v>730</v>
      </c>
      <c r="G179" s="81" t="s">
        <v>734</v>
      </c>
      <c r="H179" s="127" t="str">
        <f t="shared" si="41"/>
        <v>ATENDIDO</v>
      </c>
      <c r="I179" s="24" t="s">
        <v>22</v>
      </c>
      <c r="J179" s="24" t="s">
        <v>10</v>
      </c>
      <c r="K179" s="24" t="s">
        <v>124</v>
      </c>
      <c r="L179" s="24" t="s">
        <v>87</v>
      </c>
      <c r="M179" s="24" t="s">
        <v>95</v>
      </c>
      <c r="N179" s="24" t="s">
        <v>185</v>
      </c>
      <c r="O179" s="25" t="s">
        <v>208</v>
      </c>
      <c r="P179" s="112" t="s">
        <v>735</v>
      </c>
      <c r="Q179" s="24" t="s">
        <v>320</v>
      </c>
      <c r="R179" s="82">
        <f>Tabla1[[#This Row],[Origin Date ]]+3</f>
        <v>45799</v>
      </c>
      <c r="S179" s="2">
        <v>45800</v>
      </c>
      <c r="T179" s="88">
        <f t="shared" si="42"/>
        <v>1</v>
      </c>
      <c r="U179" s="148" t="str">
        <f t="shared" si="32"/>
        <v>Realizada a Tiempo</v>
      </c>
      <c r="V179" s="24" t="str">
        <f t="shared" si="33"/>
        <v>Cerrada</v>
      </c>
      <c r="W179" s="51">
        <v>1</v>
      </c>
      <c r="X179" s="54"/>
      <c r="Y179" s="28" t="s">
        <v>58</v>
      </c>
      <c r="Z179" s="78">
        <v>365</v>
      </c>
      <c r="AA179" s="36" t="s">
        <v>50</v>
      </c>
      <c r="AB179" s="52">
        <f>Tabla1[[#This Row],[Fecha de Entrega
End Date]]+$Z179</f>
        <v>46165</v>
      </c>
      <c r="AC179" s="44"/>
      <c r="AD179" s="53" t="s">
        <v>386</v>
      </c>
      <c r="AE179" s="37"/>
    </row>
    <row r="180" spans="1:31" ht="45" customHeight="1" x14ac:dyDescent="0.3">
      <c r="A180" s="2">
        <v>45797</v>
      </c>
      <c r="B180" s="111">
        <f t="shared" si="40"/>
        <v>176</v>
      </c>
      <c r="C180" s="22"/>
      <c r="D180" s="22"/>
      <c r="E180" s="21" t="s">
        <v>737</v>
      </c>
      <c r="F180" s="21" t="s">
        <v>731</v>
      </c>
      <c r="G180" s="81" t="s">
        <v>734</v>
      </c>
      <c r="H180" s="127" t="str">
        <f t="shared" si="41"/>
        <v>ALTA</v>
      </c>
      <c r="I180" s="24" t="s">
        <v>22</v>
      </c>
      <c r="J180" s="24" t="s">
        <v>10</v>
      </c>
      <c r="K180" s="24" t="s">
        <v>124</v>
      </c>
      <c r="L180" s="24" t="s">
        <v>77</v>
      </c>
      <c r="M180" s="24" t="s">
        <v>95</v>
      </c>
      <c r="N180" s="24" t="s">
        <v>185</v>
      </c>
      <c r="O180" s="25" t="s">
        <v>208</v>
      </c>
      <c r="P180" s="112" t="s">
        <v>735</v>
      </c>
      <c r="Q180" s="24" t="s">
        <v>93</v>
      </c>
      <c r="R180" s="82">
        <f>Tabla1[[#This Row],[Origin Date ]]+3</f>
        <v>45800</v>
      </c>
      <c r="S180" s="2"/>
      <c r="T180" s="88" t="str">
        <f t="shared" si="42"/>
        <v>-</v>
      </c>
      <c r="U180" s="148" t="str">
        <f t="shared" ca="1" si="32"/>
        <v>Atrasada</v>
      </c>
      <c r="V180" s="24" t="str">
        <f t="shared" si="33"/>
        <v>Abierta</v>
      </c>
      <c r="W180" s="51">
        <v>0.2</v>
      </c>
      <c r="X180" s="54"/>
      <c r="Y180" s="28" t="s">
        <v>58</v>
      </c>
      <c r="Z180" s="78">
        <v>365</v>
      </c>
      <c r="AA180" s="36" t="s">
        <v>50</v>
      </c>
      <c r="AB180" s="52">
        <f>Tabla1[[#This Row],[Fecha de Entrega
End Date]]+$Z180</f>
        <v>365</v>
      </c>
      <c r="AC180" s="44"/>
      <c r="AD180" s="53" t="s">
        <v>585</v>
      </c>
      <c r="AE180" s="37"/>
    </row>
    <row r="181" spans="1:31" ht="43.5" customHeight="1" x14ac:dyDescent="0.3">
      <c r="A181" s="2">
        <v>45801</v>
      </c>
      <c r="B181" s="111">
        <f t="shared" ref="B181:B191" si="43">IF(A181&lt;&gt;"",1+B180,"")</f>
        <v>177</v>
      </c>
      <c r="C181" s="22"/>
      <c r="D181" s="22"/>
      <c r="E181" s="21" t="s">
        <v>738</v>
      </c>
      <c r="F181" s="21" t="s">
        <v>732</v>
      </c>
      <c r="G181" s="81" t="s">
        <v>734</v>
      </c>
      <c r="H181" s="127" t="str">
        <f t="shared" si="41"/>
        <v>ATENDIDO</v>
      </c>
      <c r="I181" s="24" t="s">
        <v>22</v>
      </c>
      <c r="J181" s="24" t="s">
        <v>10</v>
      </c>
      <c r="K181" s="24" t="s">
        <v>124</v>
      </c>
      <c r="L181" s="24" t="s">
        <v>87</v>
      </c>
      <c r="M181" s="24" t="s">
        <v>95</v>
      </c>
      <c r="N181" s="24" t="s">
        <v>185</v>
      </c>
      <c r="O181" s="25" t="s">
        <v>208</v>
      </c>
      <c r="P181" s="112" t="s">
        <v>735</v>
      </c>
      <c r="Q181" s="94" t="s">
        <v>229</v>
      </c>
      <c r="R181" s="95">
        <f>Tabla1[[#This Row],[Origin Date ]]+3</f>
        <v>45804</v>
      </c>
      <c r="S181" s="2">
        <v>45807</v>
      </c>
      <c r="T181" s="96">
        <f t="shared" ref="T181:T191" si="44">IF((R181=""),"",IF((V181="Cerrada"),(S181-R181),IF((($AA$2-R181)&lt;=0),"-",($AA$2-R181))))</f>
        <v>3</v>
      </c>
      <c r="U181" s="148" t="str">
        <f t="shared" si="32"/>
        <v>Realizada a Tiempo</v>
      </c>
      <c r="V181" s="24" t="str">
        <f t="shared" si="33"/>
        <v>Cerrada</v>
      </c>
      <c r="W181" s="51">
        <v>0.9</v>
      </c>
      <c r="X181" s="54"/>
      <c r="Y181" s="28" t="s">
        <v>58</v>
      </c>
      <c r="Z181" s="97"/>
      <c r="AA181" s="97" t="s">
        <v>52</v>
      </c>
      <c r="AB181" s="52">
        <f>Tabla1[[#This Row],[Fecha de Entrega
End Date]]+$Z181</f>
        <v>45807</v>
      </c>
      <c r="AC181" s="84" t="s">
        <v>749</v>
      </c>
      <c r="AD181" s="53" t="s">
        <v>386</v>
      </c>
      <c r="AE181" s="99"/>
    </row>
    <row r="182" spans="1:31" ht="32.25" customHeight="1" x14ac:dyDescent="0.3">
      <c r="A182" s="2">
        <v>45803</v>
      </c>
      <c r="B182" s="111">
        <f t="shared" si="43"/>
        <v>178</v>
      </c>
      <c r="C182" s="22"/>
      <c r="D182" s="22"/>
      <c r="E182" s="21" t="s">
        <v>739</v>
      </c>
      <c r="F182" s="21" t="s">
        <v>733</v>
      </c>
      <c r="G182" s="81" t="s">
        <v>734</v>
      </c>
      <c r="H182" s="127" t="str">
        <f t="shared" si="41"/>
        <v>ALTA</v>
      </c>
      <c r="I182" s="24" t="s">
        <v>22</v>
      </c>
      <c r="J182" s="24" t="s">
        <v>10</v>
      </c>
      <c r="K182" s="24" t="s">
        <v>124</v>
      </c>
      <c r="L182" s="24" t="s">
        <v>87</v>
      </c>
      <c r="M182" s="24" t="s">
        <v>95</v>
      </c>
      <c r="N182" s="24" t="s">
        <v>185</v>
      </c>
      <c r="O182" s="25" t="s">
        <v>208</v>
      </c>
      <c r="P182" s="112" t="s">
        <v>735</v>
      </c>
      <c r="Q182" s="94" t="s">
        <v>93</v>
      </c>
      <c r="R182" s="95">
        <f>Tabla1[[#This Row],[Origin Date ]]+3</f>
        <v>45806</v>
      </c>
      <c r="S182" s="2"/>
      <c r="T182" s="96" t="str">
        <f t="shared" si="44"/>
        <v>-</v>
      </c>
      <c r="U182" s="148" t="str">
        <f t="shared" ca="1" si="32"/>
        <v>Atrasada</v>
      </c>
      <c r="V182" s="24" t="str">
        <f t="shared" si="33"/>
        <v>Abierta</v>
      </c>
      <c r="W182" s="51">
        <v>0.2</v>
      </c>
      <c r="X182" s="54"/>
      <c r="Y182" s="28" t="s">
        <v>58</v>
      </c>
      <c r="Z182" s="97"/>
      <c r="AA182" s="97" t="s">
        <v>50</v>
      </c>
      <c r="AB182" s="52">
        <f>Tabla1[[#This Row],[Fecha de Entrega
End Date]]+$Z182</f>
        <v>0</v>
      </c>
      <c r="AC182" s="98"/>
      <c r="AD182" s="53" t="s">
        <v>585</v>
      </c>
      <c r="AE182" s="99"/>
    </row>
    <row r="183" spans="1:31" ht="42" customHeight="1" x14ac:dyDescent="0.3">
      <c r="A183" s="2">
        <v>45796</v>
      </c>
      <c r="B183" s="111">
        <f t="shared" si="43"/>
        <v>179</v>
      </c>
      <c r="C183" s="22"/>
      <c r="D183" s="22"/>
      <c r="E183" s="21" t="s">
        <v>743</v>
      </c>
      <c r="F183" s="21" t="s">
        <v>740</v>
      </c>
      <c r="G183" s="81" t="s">
        <v>537</v>
      </c>
      <c r="H183" s="127" t="str">
        <f t="shared" si="41"/>
        <v>ATENDIDO</v>
      </c>
      <c r="I183" s="24" t="s">
        <v>21</v>
      </c>
      <c r="J183" s="24" t="s">
        <v>10</v>
      </c>
      <c r="K183" s="24" t="s">
        <v>124</v>
      </c>
      <c r="L183" s="24" t="s">
        <v>87</v>
      </c>
      <c r="M183" s="24" t="s">
        <v>95</v>
      </c>
      <c r="N183" s="24" t="s">
        <v>185</v>
      </c>
      <c r="O183" s="25" t="s">
        <v>208</v>
      </c>
      <c r="P183" s="112" t="s">
        <v>735</v>
      </c>
      <c r="Q183" s="94" t="s">
        <v>320</v>
      </c>
      <c r="R183" s="95">
        <f>Tabla1[[#This Row],[Origin Date ]]+3</f>
        <v>45799</v>
      </c>
      <c r="S183" s="2">
        <v>45797</v>
      </c>
      <c r="T183" s="96">
        <f t="shared" si="44"/>
        <v>-2</v>
      </c>
      <c r="U183" s="148" t="str">
        <f t="shared" si="32"/>
        <v>Realizada a Tiempo</v>
      </c>
      <c r="V183" s="24" t="str">
        <f t="shared" si="33"/>
        <v>Cerrada</v>
      </c>
      <c r="W183" s="51">
        <v>1</v>
      </c>
      <c r="X183" s="54"/>
      <c r="Y183" s="28" t="s">
        <v>58</v>
      </c>
      <c r="Z183" s="97">
        <v>30</v>
      </c>
      <c r="AA183" s="97" t="s">
        <v>51</v>
      </c>
      <c r="AB183" s="52">
        <f>Tabla1[[#This Row],[Fecha de Entrega
End Date]]+$Z183</f>
        <v>45827</v>
      </c>
      <c r="AC183" s="98"/>
      <c r="AD183" s="53" t="s">
        <v>386</v>
      </c>
      <c r="AE183" s="99"/>
    </row>
    <row r="184" spans="1:31" ht="39" customHeight="1" x14ac:dyDescent="0.3">
      <c r="A184" s="2">
        <v>45797</v>
      </c>
      <c r="B184" s="111">
        <f t="shared" si="43"/>
        <v>180</v>
      </c>
      <c r="C184" s="22"/>
      <c r="D184" s="22"/>
      <c r="E184" s="21" t="s">
        <v>742</v>
      </c>
      <c r="F184" s="21" t="s">
        <v>741</v>
      </c>
      <c r="G184" s="81" t="s">
        <v>734</v>
      </c>
      <c r="H184" s="127" t="str">
        <f t="shared" si="41"/>
        <v>ATENDIDO</v>
      </c>
      <c r="I184" s="24" t="s">
        <v>22</v>
      </c>
      <c r="J184" s="24" t="s">
        <v>10</v>
      </c>
      <c r="K184" s="24" t="s">
        <v>124</v>
      </c>
      <c r="L184" s="24" t="s">
        <v>87</v>
      </c>
      <c r="M184" s="94" t="s">
        <v>82</v>
      </c>
      <c r="N184" s="24" t="s">
        <v>185</v>
      </c>
      <c r="O184" s="25" t="s">
        <v>208</v>
      </c>
      <c r="P184" s="112" t="s">
        <v>735</v>
      </c>
      <c r="Q184" s="94" t="s">
        <v>320</v>
      </c>
      <c r="R184" s="95">
        <f>Tabla1[[#This Row],[Origin Date ]]+3</f>
        <v>45800</v>
      </c>
      <c r="S184" s="2">
        <v>45797</v>
      </c>
      <c r="T184" s="96">
        <f t="shared" si="44"/>
        <v>-3</v>
      </c>
      <c r="U184" s="148" t="str">
        <f t="shared" si="32"/>
        <v>Realizada a Tiempo</v>
      </c>
      <c r="V184" s="24" t="str">
        <f t="shared" si="33"/>
        <v>Cerrada</v>
      </c>
      <c r="W184" s="51">
        <v>1</v>
      </c>
      <c r="X184" s="54"/>
      <c r="Y184" s="28" t="s">
        <v>58</v>
      </c>
      <c r="Z184" s="97">
        <v>30</v>
      </c>
      <c r="AA184" s="97" t="s">
        <v>50</v>
      </c>
      <c r="AB184" s="52">
        <f>Tabla1[[#This Row],[Fecha de Entrega
End Date]]+$Z184</f>
        <v>45827</v>
      </c>
      <c r="AC184" s="98"/>
      <c r="AD184" s="53" t="s">
        <v>386</v>
      </c>
      <c r="AE184" s="99"/>
    </row>
    <row r="185" spans="1:31" ht="32.25" customHeight="1" x14ac:dyDescent="0.3">
      <c r="A185" s="2">
        <v>45798</v>
      </c>
      <c r="B185" s="111">
        <f t="shared" si="43"/>
        <v>181</v>
      </c>
      <c r="C185" s="22"/>
      <c r="D185" s="22"/>
      <c r="E185" s="21" t="s">
        <v>746</v>
      </c>
      <c r="F185" s="21" t="s">
        <v>744</v>
      </c>
      <c r="G185" s="81" t="s">
        <v>537</v>
      </c>
      <c r="H185" s="127" t="str">
        <f t="shared" si="41"/>
        <v>ATENDIDO</v>
      </c>
      <c r="I185" s="24" t="s">
        <v>22</v>
      </c>
      <c r="J185" s="24" t="s">
        <v>10</v>
      </c>
      <c r="K185" s="24" t="s">
        <v>124</v>
      </c>
      <c r="L185" s="24" t="s">
        <v>87</v>
      </c>
      <c r="M185" s="94" t="s">
        <v>82</v>
      </c>
      <c r="N185" s="24" t="s">
        <v>185</v>
      </c>
      <c r="O185" s="25" t="s">
        <v>208</v>
      </c>
      <c r="P185" s="112" t="s">
        <v>735</v>
      </c>
      <c r="Q185" s="94" t="s">
        <v>229</v>
      </c>
      <c r="R185" s="95">
        <f>Tabla1[[#This Row],[Origin Date ]]+3</f>
        <v>45801</v>
      </c>
      <c r="S185" s="2">
        <v>45799</v>
      </c>
      <c r="T185" s="96">
        <f t="shared" si="44"/>
        <v>-2</v>
      </c>
      <c r="U185" s="148" t="str">
        <f t="shared" si="32"/>
        <v>Realizada a Tiempo</v>
      </c>
      <c r="V185" s="24" t="str">
        <f t="shared" si="33"/>
        <v>Cerrada</v>
      </c>
      <c r="W185" s="51">
        <v>1</v>
      </c>
      <c r="X185" s="54"/>
      <c r="Y185" s="28" t="s">
        <v>58</v>
      </c>
      <c r="Z185" s="97"/>
      <c r="AA185" s="97" t="s">
        <v>50</v>
      </c>
      <c r="AB185" s="52">
        <f>Tabla1[[#This Row],[Fecha de Entrega
End Date]]+$Z185</f>
        <v>45799</v>
      </c>
      <c r="AC185" s="100" t="s">
        <v>745</v>
      </c>
      <c r="AD185" s="53" t="s">
        <v>386</v>
      </c>
      <c r="AE185" s="99"/>
    </row>
    <row r="186" spans="1:31" ht="41.25" customHeight="1" x14ac:dyDescent="0.3">
      <c r="A186" s="2">
        <v>45798</v>
      </c>
      <c r="B186" s="111">
        <f t="shared" si="43"/>
        <v>182</v>
      </c>
      <c r="C186" s="22"/>
      <c r="D186" s="22"/>
      <c r="E186" s="21" t="s">
        <v>757</v>
      </c>
      <c r="F186" s="21" t="s">
        <v>747</v>
      </c>
      <c r="G186" s="81" t="s">
        <v>734</v>
      </c>
      <c r="H186" s="127" t="str">
        <f t="shared" si="41"/>
        <v>ATENDIDO</v>
      </c>
      <c r="I186" s="24" t="s">
        <v>22</v>
      </c>
      <c r="J186" s="24" t="s">
        <v>10</v>
      </c>
      <c r="K186" s="24" t="s">
        <v>124</v>
      </c>
      <c r="L186" s="24" t="s">
        <v>87</v>
      </c>
      <c r="M186" s="94" t="s">
        <v>82</v>
      </c>
      <c r="N186" s="24" t="s">
        <v>185</v>
      </c>
      <c r="O186" s="25" t="s">
        <v>208</v>
      </c>
      <c r="P186" s="112" t="s">
        <v>735</v>
      </c>
      <c r="Q186" s="94" t="s">
        <v>320</v>
      </c>
      <c r="R186" s="95">
        <f>Tabla1[[#This Row],[Origin Date ]]+3</f>
        <v>45801</v>
      </c>
      <c r="S186" s="2">
        <v>45799</v>
      </c>
      <c r="T186" s="96">
        <f t="shared" si="44"/>
        <v>-2</v>
      </c>
      <c r="U186" s="148" t="str">
        <f t="shared" si="32"/>
        <v>Realizada a Tiempo</v>
      </c>
      <c r="V186" s="24" t="str">
        <f t="shared" si="33"/>
        <v>Cerrada</v>
      </c>
      <c r="W186" s="51">
        <v>1</v>
      </c>
      <c r="X186" s="54"/>
      <c r="Y186" s="28" t="s">
        <v>58</v>
      </c>
      <c r="Z186" s="97"/>
      <c r="AA186" s="97"/>
      <c r="AB186" s="52">
        <f>Tabla1[[#This Row],[Fecha de Entrega
End Date]]+$Z186</f>
        <v>45799</v>
      </c>
      <c r="AC186" s="98"/>
      <c r="AD186" s="53" t="s">
        <v>386</v>
      </c>
      <c r="AE186" s="99"/>
    </row>
    <row r="187" spans="1:31" ht="33.75" customHeight="1" x14ac:dyDescent="0.3">
      <c r="A187" s="2">
        <v>45798</v>
      </c>
      <c r="B187" s="111">
        <f t="shared" si="43"/>
        <v>183</v>
      </c>
      <c r="C187" s="22"/>
      <c r="D187" s="22"/>
      <c r="E187" s="21" t="s">
        <v>758</v>
      </c>
      <c r="F187" s="21" t="s">
        <v>748</v>
      </c>
      <c r="G187" s="81"/>
      <c r="H187" s="127" t="str">
        <f t="shared" si="41"/>
        <v>ATENDIDO</v>
      </c>
      <c r="I187" s="24" t="s">
        <v>22</v>
      </c>
      <c r="J187" s="24" t="s">
        <v>10</v>
      </c>
      <c r="K187" s="24" t="s">
        <v>124</v>
      </c>
      <c r="L187" s="24" t="s">
        <v>87</v>
      </c>
      <c r="M187" s="94" t="s">
        <v>82</v>
      </c>
      <c r="N187" s="24" t="s">
        <v>185</v>
      </c>
      <c r="O187" s="25" t="s">
        <v>208</v>
      </c>
      <c r="P187" s="112" t="s">
        <v>463</v>
      </c>
      <c r="Q187" s="94" t="s">
        <v>229</v>
      </c>
      <c r="R187" s="95">
        <f>Tabla1[[#This Row],[Origin Date ]]+3</f>
        <v>45801</v>
      </c>
      <c r="S187" s="2">
        <v>45799</v>
      </c>
      <c r="T187" s="96">
        <f t="shared" si="44"/>
        <v>-2</v>
      </c>
      <c r="U187" s="148" t="str">
        <f t="shared" si="32"/>
        <v>Realizada a Tiempo</v>
      </c>
      <c r="V187" s="24" t="str">
        <f t="shared" si="33"/>
        <v>Cerrada</v>
      </c>
      <c r="W187" s="51">
        <v>1</v>
      </c>
      <c r="X187" s="54"/>
      <c r="Y187" s="28" t="s">
        <v>58</v>
      </c>
      <c r="Z187" s="97"/>
      <c r="AA187" s="97"/>
      <c r="AB187" s="52">
        <f>Tabla1[[#This Row],[Fecha de Entrega
End Date]]+$Z187</f>
        <v>45799</v>
      </c>
      <c r="AC187" s="98"/>
      <c r="AD187" s="53" t="s">
        <v>386</v>
      </c>
      <c r="AE187" s="99"/>
    </row>
    <row r="188" spans="1:31" ht="32.25" customHeight="1" x14ac:dyDescent="0.3">
      <c r="A188" s="2">
        <v>45800</v>
      </c>
      <c r="B188" s="111">
        <f t="shared" si="43"/>
        <v>184</v>
      </c>
      <c r="C188" s="22"/>
      <c r="D188" s="22"/>
      <c r="E188" s="21" t="s">
        <v>759</v>
      </c>
      <c r="F188" s="21" t="s">
        <v>750</v>
      </c>
      <c r="G188" s="81" t="s">
        <v>752</v>
      </c>
      <c r="H188" s="127" t="str">
        <f t="shared" si="41"/>
        <v>ATENDIDO</v>
      </c>
      <c r="I188" s="24" t="s">
        <v>22</v>
      </c>
      <c r="J188" s="24" t="s">
        <v>10</v>
      </c>
      <c r="K188" s="24" t="s">
        <v>124</v>
      </c>
      <c r="L188" s="24" t="s">
        <v>77</v>
      </c>
      <c r="M188" s="94" t="s">
        <v>82</v>
      </c>
      <c r="N188" s="24" t="s">
        <v>185</v>
      </c>
      <c r="O188" s="25" t="s">
        <v>208</v>
      </c>
      <c r="P188" s="112" t="s">
        <v>181</v>
      </c>
      <c r="Q188" s="94" t="s">
        <v>320</v>
      </c>
      <c r="R188" s="95">
        <f>Tabla1[[#This Row],[Origin Date ]]+3</f>
        <v>45803</v>
      </c>
      <c r="S188" s="2">
        <v>45804</v>
      </c>
      <c r="T188" s="96">
        <f t="shared" si="44"/>
        <v>1</v>
      </c>
      <c r="U188" s="148" t="str">
        <f t="shared" si="32"/>
        <v>Realizada a Tiempo</v>
      </c>
      <c r="V188" s="24" t="str">
        <f t="shared" si="33"/>
        <v>Cerrada</v>
      </c>
      <c r="W188" s="51">
        <v>0.8</v>
      </c>
      <c r="X188" s="54"/>
      <c r="Y188" s="28" t="s">
        <v>58</v>
      </c>
      <c r="Z188" s="97"/>
      <c r="AA188" s="97" t="s">
        <v>52</v>
      </c>
      <c r="AB188" s="52">
        <f>Tabla1[[#This Row],[Fecha de Entrega
End Date]]+$Z188</f>
        <v>45804</v>
      </c>
      <c r="AC188" s="98"/>
      <c r="AD188" s="53" t="s">
        <v>386</v>
      </c>
      <c r="AE188" s="99"/>
    </row>
    <row r="189" spans="1:31" ht="34.5" customHeight="1" x14ac:dyDescent="0.3">
      <c r="A189" s="2">
        <v>45801</v>
      </c>
      <c r="B189" s="111">
        <f t="shared" si="43"/>
        <v>185</v>
      </c>
      <c r="C189" s="22"/>
      <c r="D189" s="22"/>
      <c r="E189" s="21" t="s">
        <v>762</v>
      </c>
      <c r="F189" s="21" t="s">
        <v>751</v>
      </c>
      <c r="G189" s="81" t="s">
        <v>537</v>
      </c>
      <c r="H189" s="127" t="str">
        <f t="shared" si="41"/>
        <v>ATENDIDO</v>
      </c>
      <c r="I189" s="24" t="s">
        <v>21</v>
      </c>
      <c r="J189" s="24" t="s">
        <v>10</v>
      </c>
      <c r="K189" s="24" t="s">
        <v>124</v>
      </c>
      <c r="L189" s="24" t="s">
        <v>77</v>
      </c>
      <c r="M189" s="94" t="s">
        <v>82</v>
      </c>
      <c r="N189" s="24" t="s">
        <v>185</v>
      </c>
      <c r="O189" s="25" t="s">
        <v>208</v>
      </c>
      <c r="P189" s="112" t="s">
        <v>463</v>
      </c>
      <c r="Q189" s="94" t="s">
        <v>229</v>
      </c>
      <c r="R189" s="95">
        <f>Tabla1[[#This Row],[Origin Date ]]+3</f>
        <v>45804</v>
      </c>
      <c r="S189" s="2">
        <v>45804</v>
      </c>
      <c r="T189" s="96">
        <f t="shared" si="44"/>
        <v>0</v>
      </c>
      <c r="U189" s="148" t="str">
        <f t="shared" si="32"/>
        <v>Realizada a Tiempo</v>
      </c>
      <c r="V189" s="24" t="str">
        <f t="shared" si="33"/>
        <v>Cerrada</v>
      </c>
      <c r="W189" s="51">
        <v>0.8</v>
      </c>
      <c r="X189" s="54" t="s">
        <v>794</v>
      </c>
      <c r="Y189" s="28" t="s">
        <v>58</v>
      </c>
      <c r="Z189" s="97"/>
      <c r="AA189" s="97"/>
      <c r="AB189" s="52">
        <f>Tabla1[[#This Row],[Fecha de Entrega
End Date]]+$Z189</f>
        <v>45804</v>
      </c>
      <c r="AC189" s="98"/>
      <c r="AD189" s="53" t="s">
        <v>386</v>
      </c>
      <c r="AE189" s="99"/>
    </row>
    <row r="190" spans="1:31" ht="46.5" customHeight="1" x14ac:dyDescent="0.3">
      <c r="A190" s="2">
        <v>45798</v>
      </c>
      <c r="B190" s="111">
        <f t="shared" si="43"/>
        <v>186</v>
      </c>
      <c r="C190" s="22"/>
      <c r="D190" s="22"/>
      <c r="E190" s="21" t="s">
        <v>763</v>
      </c>
      <c r="F190" s="21" t="s">
        <v>753</v>
      </c>
      <c r="G190" s="81" t="s">
        <v>537</v>
      </c>
      <c r="H190" s="127" t="str">
        <f t="shared" si="41"/>
        <v>ATENDIDO</v>
      </c>
      <c r="I190" s="24" t="s">
        <v>21</v>
      </c>
      <c r="J190" s="24" t="s">
        <v>10</v>
      </c>
      <c r="K190" s="24" t="s">
        <v>124</v>
      </c>
      <c r="L190" s="24" t="s">
        <v>77</v>
      </c>
      <c r="M190" s="94" t="s">
        <v>82</v>
      </c>
      <c r="N190" s="24" t="s">
        <v>185</v>
      </c>
      <c r="O190" s="25" t="s">
        <v>208</v>
      </c>
      <c r="P190" s="112" t="s">
        <v>463</v>
      </c>
      <c r="Q190" s="94" t="s">
        <v>229</v>
      </c>
      <c r="R190" s="95">
        <f>Tabla1[[#This Row],[Origin Date ]]+3</f>
        <v>45801</v>
      </c>
      <c r="S190" s="2">
        <v>45800</v>
      </c>
      <c r="T190" s="96">
        <f t="shared" si="44"/>
        <v>-1</v>
      </c>
      <c r="U190" s="148" t="str">
        <f t="shared" si="32"/>
        <v>Realizada a Tiempo</v>
      </c>
      <c r="V190" s="24" t="str">
        <f t="shared" si="33"/>
        <v>Cerrada</v>
      </c>
      <c r="W190" s="51">
        <v>1</v>
      </c>
      <c r="X190" s="54" t="s">
        <v>755</v>
      </c>
      <c r="Y190" s="28" t="s">
        <v>452</v>
      </c>
      <c r="Z190" s="97">
        <v>30</v>
      </c>
      <c r="AA190" s="97" t="s">
        <v>51</v>
      </c>
      <c r="AB190" s="52">
        <f>Tabla1[[#This Row],[Fecha de Entrega
End Date]]+$Z190</f>
        <v>45830</v>
      </c>
      <c r="AC190" s="84" t="s">
        <v>754</v>
      </c>
      <c r="AD190" s="53" t="s">
        <v>386</v>
      </c>
      <c r="AE190" s="99"/>
    </row>
    <row r="191" spans="1:31" ht="35.25" customHeight="1" x14ac:dyDescent="0.3">
      <c r="A191" s="2">
        <v>45801</v>
      </c>
      <c r="B191" s="111">
        <f t="shared" si="43"/>
        <v>187</v>
      </c>
      <c r="C191" s="22"/>
      <c r="D191" s="22"/>
      <c r="E191" s="21" t="s">
        <v>764</v>
      </c>
      <c r="F191" s="21" t="s">
        <v>773</v>
      </c>
      <c r="G191" s="81" t="s">
        <v>760</v>
      </c>
      <c r="H191" s="127" t="str">
        <f t="shared" si="41"/>
        <v>ATENDIDO</v>
      </c>
      <c r="I191" s="24" t="s">
        <v>22</v>
      </c>
      <c r="J191" s="24" t="s">
        <v>10</v>
      </c>
      <c r="K191" s="24" t="s">
        <v>124</v>
      </c>
      <c r="L191" s="24" t="s">
        <v>77</v>
      </c>
      <c r="M191" s="94" t="s">
        <v>86</v>
      </c>
      <c r="N191" s="24" t="s">
        <v>209</v>
      </c>
      <c r="O191" s="25" t="s">
        <v>208</v>
      </c>
      <c r="P191" s="112" t="s">
        <v>73</v>
      </c>
      <c r="Q191" s="94" t="s">
        <v>93</v>
      </c>
      <c r="R191" s="95">
        <f>Tabla1[[#This Row],[Origin Date ]]+3</f>
        <v>45804</v>
      </c>
      <c r="S191" s="2">
        <v>45806</v>
      </c>
      <c r="T191" s="96">
        <f t="shared" si="44"/>
        <v>2</v>
      </c>
      <c r="U191" s="148" t="str">
        <f t="shared" si="32"/>
        <v>Realizada a Tiempo</v>
      </c>
      <c r="V191" s="24" t="str">
        <f t="shared" si="33"/>
        <v>Cerrada</v>
      </c>
      <c r="W191" s="51">
        <v>0.9</v>
      </c>
      <c r="X191" s="54" t="s">
        <v>787</v>
      </c>
      <c r="Y191" s="28" t="s">
        <v>58</v>
      </c>
      <c r="Z191" s="97"/>
      <c r="AA191" s="97"/>
      <c r="AB191" s="52">
        <f>Tabla1[[#This Row],[Fecha de Entrega
End Date]]+$Z191</f>
        <v>45806</v>
      </c>
      <c r="AC191" s="44" t="s">
        <v>788</v>
      </c>
      <c r="AD191" s="53" t="s">
        <v>387</v>
      </c>
      <c r="AE191" s="99"/>
    </row>
    <row r="192" spans="1:31" ht="41.25" customHeight="1" x14ac:dyDescent="0.3">
      <c r="A192" s="2">
        <v>45803</v>
      </c>
      <c r="B192" s="111">
        <f t="shared" ref="B192:B218" si="45">IF(A192&lt;&gt;"",1+B191,"")</f>
        <v>188</v>
      </c>
      <c r="C192" s="22"/>
      <c r="D192" s="22"/>
      <c r="E192" s="21" t="s">
        <v>765</v>
      </c>
      <c r="F192" s="21" t="s">
        <v>761</v>
      </c>
      <c r="G192" s="81" t="s">
        <v>574</v>
      </c>
      <c r="H192" s="127" t="str">
        <f t="shared" si="41"/>
        <v>ATENDIDO</v>
      </c>
      <c r="I192" s="24" t="s">
        <v>22</v>
      </c>
      <c r="J192" s="24" t="s">
        <v>9</v>
      </c>
      <c r="K192" s="24" t="s">
        <v>116</v>
      </c>
      <c r="L192" s="24" t="s">
        <v>77</v>
      </c>
      <c r="M192" s="94" t="s">
        <v>86</v>
      </c>
      <c r="N192" s="24" t="s">
        <v>209</v>
      </c>
      <c r="O192" s="25" t="s">
        <v>208</v>
      </c>
      <c r="P192" s="112" t="s">
        <v>73</v>
      </c>
      <c r="Q192" s="94" t="s">
        <v>320</v>
      </c>
      <c r="R192" s="95">
        <f>Tabla1[[#This Row],[Origin Date ]]+3</f>
        <v>45806</v>
      </c>
      <c r="S192" s="2">
        <v>45803</v>
      </c>
      <c r="T192" s="96">
        <f t="shared" ref="T192:T206" si="46">IF((R192=""),"",IF((V192="Cerrada"),(S192-R192),IF((($AA$2-R192)&lt;=0),"-",($AA$2-R192))))</f>
        <v>-3</v>
      </c>
      <c r="U192" s="148" t="str">
        <f t="shared" si="32"/>
        <v>Realizada a Tiempo</v>
      </c>
      <c r="V192" s="24" t="str">
        <f t="shared" si="33"/>
        <v>Cerrada</v>
      </c>
      <c r="W192" s="51">
        <v>0.8</v>
      </c>
      <c r="X192" s="54"/>
      <c r="Y192" s="28" t="s">
        <v>58</v>
      </c>
      <c r="Z192" s="97"/>
      <c r="AA192" s="97"/>
      <c r="AB192" s="52">
        <f>Tabla1[[#This Row],[Fecha de Entrega
End Date]]+$Z192</f>
        <v>45803</v>
      </c>
      <c r="AC192" s="98"/>
      <c r="AD192" s="53" t="s">
        <v>386</v>
      </c>
      <c r="AE192" s="37" t="s">
        <v>767</v>
      </c>
    </row>
    <row r="193" spans="1:31" ht="37.5" customHeight="1" x14ac:dyDescent="0.3">
      <c r="A193" s="2">
        <v>45801</v>
      </c>
      <c r="B193" s="111">
        <f t="shared" si="45"/>
        <v>189</v>
      </c>
      <c r="C193" s="22"/>
      <c r="D193" s="22"/>
      <c r="E193" s="21" t="s">
        <v>766</v>
      </c>
      <c r="F193" s="21" t="s">
        <v>768</v>
      </c>
      <c r="G193" s="81" t="s">
        <v>537</v>
      </c>
      <c r="H193" s="127" t="str">
        <f t="shared" si="41"/>
        <v>ALTA</v>
      </c>
      <c r="I193" s="24" t="s">
        <v>21</v>
      </c>
      <c r="J193" s="24" t="s">
        <v>16</v>
      </c>
      <c r="K193" s="24" t="s">
        <v>124</v>
      </c>
      <c r="L193" s="24" t="s">
        <v>77</v>
      </c>
      <c r="M193" s="94" t="s">
        <v>86</v>
      </c>
      <c r="N193" s="24" t="s">
        <v>185</v>
      </c>
      <c r="O193" s="25" t="s">
        <v>208</v>
      </c>
      <c r="P193" s="112" t="s">
        <v>463</v>
      </c>
      <c r="Q193" s="94" t="s">
        <v>229</v>
      </c>
      <c r="R193" s="95">
        <f>Tabla1[[#This Row],[Origin Date ]]+3</f>
        <v>45804</v>
      </c>
      <c r="S193" s="2"/>
      <c r="T193" s="96" t="str">
        <f t="shared" si="46"/>
        <v>-</v>
      </c>
      <c r="U193" s="148" t="str">
        <f t="shared" ca="1" si="32"/>
        <v>Atrasada</v>
      </c>
      <c r="V193" s="24" t="str">
        <f t="shared" si="33"/>
        <v>Abierta</v>
      </c>
      <c r="W193" s="51">
        <v>0.5</v>
      </c>
      <c r="X193" s="54"/>
      <c r="Y193" s="28" t="s">
        <v>58</v>
      </c>
      <c r="Z193" s="97"/>
      <c r="AA193" s="97"/>
      <c r="AB193" s="52">
        <f>Tabla1[[#This Row],[Fecha de Entrega
End Date]]+$Z193</f>
        <v>0</v>
      </c>
      <c r="AC193" s="98"/>
      <c r="AD193" s="53" t="s">
        <v>585</v>
      </c>
      <c r="AE193" s="99"/>
    </row>
    <row r="194" spans="1:31" ht="38.25" customHeight="1" x14ac:dyDescent="0.3">
      <c r="A194" s="2">
        <v>45804</v>
      </c>
      <c r="B194" s="111">
        <f t="shared" si="45"/>
        <v>190</v>
      </c>
      <c r="C194" s="22"/>
      <c r="D194" s="22"/>
      <c r="E194" s="21" t="s">
        <v>770</v>
      </c>
      <c r="F194" s="21" t="s">
        <v>769</v>
      </c>
      <c r="G194" s="81" t="s">
        <v>574</v>
      </c>
      <c r="H194" s="127" t="str">
        <f t="shared" si="41"/>
        <v>ATENDIDO</v>
      </c>
      <c r="I194" s="24" t="s">
        <v>61</v>
      </c>
      <c r="J194" s="24" t="s">
        <v>10</v>
      </c>
      <c r="K194" s="24" t="s">
        <v>124</v>
      </c>
      <c r="L194" s="24" t="s">
        <v>77</v>
      </c>
      <c r="M194" s="94" t="s">
        <v>86</v>
      </c>
      <c r="N194" s="24" t="s">
        <v>209</v>
      </c>
      <c r="O194" s="25" t="s">
        <v>208</v>
      </c>
      <c r="P194" s="112" t="s">
        <v>73</v>
      </c>
      <c r="Q194" s="94" t="s">
        <v>320</v>
      </c>
      <c r="R194" s="95">
        <f>Tabla1[[#This Row],[Origin Date ]]+3</f>
        <v>45807</v>
      </c>
      <c r="S194" s="2">
        <v>45805</v>
      </c>
      <c r="T194" s="96">
        <f t="shared" si="46"/>
        <v>-2</v>
      </c>
      <c r="U194" s="148" t="str">
        <f t="shared" si="32"/>
        <v>Realizada a Tiempo</v>
      </c>
      <c r="V194" s="24" t="str">
        <f t="shared" si="33"/>
        <v>Cerrada</v>
      </c>
      <c r="W194" s="51">
        <v>1</v>
      </c>
      <c r="X194" s="54"/>
      <c r="Y194" s="28" t="s">
        <v>58</v>
      </c>
      <c r="Z194" s="97"/>
      <c r="AA194" s="97"/>
      <c r="AB194" s="52">
        <f>Tabla1[[#This Row],[Fecha de Entrega
End Date]]+$Z194</f>
        <v>45805</v>
      </c>
      <c r="AC194" s="98"/>
      <c r="AD194" s="53" t="s">
        <v>386</v>
      </c>
      <c r="AE194" s="99"/>
    </row>
    <row r="195" spans="1:31" ht="40.5" customHeight="1" x14ac:dyDescent="0.3">
      <c r="A195" s="2">
        <v>45804</v>
      </c>
      <c r="B195" s="111">
        <f t="shared" si="45"/>
        <v>191</v>
      </c>
      <c r="C195" s="22"/>
      <c r="D195" s="22"/>
      <c r="E195" s="21" t="s">
        <v>774</v>
      </c>
      <c r="F195" s="21" t="s">
        <v>771</v>
      </c>
      <c r="G195" s="81" t="s">
        <v>537</v>
      </c>
      <c r="H195" s="127" t="str">
        <f t="shared" si="41"/>
        <v>ATENDIDO</v>
      </c>
      <c r="I195" s="24" t="s">
        <v>21</v>
      </c>
      <c r="J195" s="24" t="s">
        <v>16</v>
      </c>
      <c r="K195" s="24" t="s">
        <v>124</v>
      </c>
      <c r="L195" s="24" t="s">
        <v>77</v>
      </c>
      <c r="M195" s="94" t="s">
        <v>86</v>
      </c>
      <c r="N195" s="24" t="s">
        <v>185</v>
      </c>
      <c r="O195" s="25" t="s">
        <v>208</v>
      </c>
      <c r="P195" s="112" t="s">
        <v>463</v>
      </c>
      <c r="Q195" s="94" t="s">
        <v>229</v>
      </c>
      <c r="R195" s="95">
        <f>Tabla1[[#This Row],[Origin Date ]]+3</f>
        <v>45807</v>
      </c>
      <c r="S195" s="2">
        <v>45804</v>
      </c>
      <c r="T195" s="96">
        <f t="shared" si="46"/>
        <v>-3</v>
      </c>
      <c r="U195" s="148" t="str">
        <f t="shared" si="32"/>
        <v>Realizada a Tiempo</v>
      </c>
      <c r="V195" s="24" t="str">
        <f t="shared" si="33"/>
        <v>Cerrada</v>
      </c>
      <c r="W195" s="51">
        <v>0.8</v>
      </c>
      <c r="X195" s="54"/>
      <c r="Y195" s="28" t="s">
        <v>58</v>
      </c>
      <c r="Z195" s="97"/>
      <c r="AA195" s="97"/>
      <c r="AB195" s="52">
        <f>Tabla1[[#This Row],[Fecha de Entrega
End Date]]+$Z195</f>
        <v>45804</v>
      </c>
      <c r="AC195" s="98"/>
      <c r="AD195" s="53" t="s">
        <v>386</v>
      </c>
      <c r="AE195" s="99"/>
    </row>
    <row r="196" spans="1:31" ht="38.25" customHeight="1" x14ac:dyDescent="0.3">
      <c r="A196" s="2">
        <v>45804</v>
      </c>
      <c r="B196" s="111">
        <f t="shared" si="45"/>
        <v>192</v>
      </c>
      <c r="C196" s="22"/>
      <c r="D196" s="22"/>
      <c r="E196" s="21" t="s">
        <v>775</v>
      </c>
      <c r="F196" s="21" t="s">
        <v>772</v>
      </c>
      <c r="G196" s="81" t="s">
        <v>537</v>
      </c>
      <c r="H196" s="127" t="str">
        <f t="shared" si="41"/>
        <v>ATENDIDO</v>
      </c>
      <c r="I196" s="24" t="s">
        <v>21</v>
      </c>
      <c r="J196" s="24" t="s">
        <v>16</v>
      </c>
      <c r="K196" s="24" t="s">
        <v>124</v>
      </c>
      <c r="L196" s="24" t="s">
        <v>77</v>
      </c>
      <c r="M196" s="94" t="s">
        <v>86</v>
      </c>
      <c r="N196" s="24" t="s">
        <v>185</v>
      </c>
      <c r="O196" s="25" t="s">
        <v>208</v>
      </c>
      <c r="P196" s="112" t="s">
        <v>463</v>
      </c>
      <c r="Q196" s="94" t="s">
        <v>229</v>
      </c>
      <c r="R196" s="95">
        <f>Tabla1[[#This Row],[Origin Date ]]+3</f>
        <v>45807</v>
      </c>
      <c r="S196" s="2">
        <v>45804</v>
      </c>
      <c r="T196" s="96">
        <f t="shared" si="46"/>
        <v>-3</v>
      </c>
      <c r="U196" s="148" t="str">
        <f t="shared" si="32"/>
        <v>Realizada a Tiempo</v>
      </c>
      <c r="V196" s="24" t="str">
        <f t="shared" si="33"/>
        <v>Cerrada</v>
      </c>
      <c r="W196" s="51">
        <v>0.2</v>
      </c>
      <c r="X196" s="54"/>
      <c r="Y196" s="28" t="s">
        <v>58</v>
      </c>
      <c r="Z196" s="97"/>
      <c r="AA196" s="97"/>
      <c r="AB196" s="52">
        <f>Tabla1[[#This Row],[Fecha de Entrega
End Date]]+$Z196</f>
        <v>45804</v>
      </c>
      <c r="AC196" s="98"/>
      <c r="AD196" s="53" t="s">
        <v>386</v>
      </c>
      <c r="AE196" s="37" t="s">
        <v>776</v>
      </c>
    </row>
    <row r="197" spans="1:31" ht="45.75" customHeight="1" x14ac:dyDescent="0.3">
      <c r="A197" s="2">
        <v>45804</v>
      </c>
      <c r="B197" s="111">
        <f t="shared" si="45"/>
        <v>193</v>
      </c>
      <c r="C197" s="22"/>
      <c r="D197" s="22"/>
      <c r="E197" s="21" t="s">
        <v>815</v>
      </c>
      <c r="F197" s="21" t="s">
        <v>782</v>
      </c>
      <c r="G197" s="81" t="s">
        <v>537</v>
      </c>
      <c r="H197" s="127" t="str">
        <f t="shared" si="41"/>
        <v>ATENDIDO</v>
      </c>
      <c r="I197" s="24" t="s">
        <v>97</v>
      </c>
      <c r="J197" s="24" t="s">
        <v>10</v>
      </c>
      <c r="K197" s="81" t="s">
        <v>124</v>
      </c>
      <c r="L197" s="24" t="s">
        <v>77</v>
      </c>
      <c r="M197" s="94" t="s">
        <v>86</v>
      </c>
      <c r="N197" s="24" t="s">
        <v>209</v>
      </c>
      <c r="O197" s="25" t="s">
        <v>208</v>
      </c>
      <c r="P197" s="112" t="s">
        <v>181</v>
      </c>
      <c r="Q197" s="94" t="s">
        <v>320</v>
      </c>
      <c r="R197" s="95">
        <f>Tabla1[[#This Row],[Origin Date ]]+3</f>
        <v>45807</v>
      </c>
      <c r="S197" s="2">
        <v>45804</v>
      </c>
      <c r="T197" s="96">
        <f t="shared" si="46"/>
        <v>-3</v>
      </c>
      <c r="U197" s="148" t="str">
        <f t="shared" si="32"/>
        <v>Realizada a Tiempo</v>
      </c>
      <c r="V197" s="24" t="str">
        <f t="shared" si="33"/>
        <v>Cerrada</v>
      </c>
      <c r="W197" s="51">
        <v>0.5</v>
      </c>
      <c r="X197" s="54"/>
      <c r="Y197" s="28" t="s">
        <v>58</v>
      </c>
      <c r="Z197" s="97"/>
      <c r="AA197" s="97"/>
      <c r="AB197" s="52">
        <f>Tabla1[[#This Row],[Fecha de Entrega
End Date]]+$Z197</f>
        <v>45804</v>
      </c>
      <c r="AC197" s="98"/>
      <c r="AD197" s="53" t="s">
        <v>386</v>
      </c>
      <c r="AE197" s="99"/>
    </row>
    <row r="198" spans="1:31" ht="36.75" customHeight="1" x14ac:dyDescent="0.3">
      <c r="A198" s="2">
        <v>45805</v>
      </c>
      <c r="B198" s="111">
        <f t="shared" si="45"/>
        <v>194</v>
      </c>
      <c r="C198" s="22"/>
      <c r="D198" s="22"/>
      <c r="E198" s="21" t="s">
        <v>816</v>
      </c>
      <c r="F198" s="21" t="s">
        <v>778</v>
      </c>
      <c r="G198" s="81" t="s">
        <v>537</v>
      </c>
      <c r="H198" s="127" t="str">
        <f t="shared" si="41"/>
        <v>ALTA</v>
      </c>
      <c r="I198" s="24" t="s">
        <v>21</v>
      </c>
      <c r="J198" s="24" t="s">
        <v>10</v>
      </c>
      <c r="K198" s="24" t="s">
        <v>124</v>
      </c>
      <c r="L198" s="24" t="s">
        <v>77</v>
      </c>
      <c r="M198" s="94" t="s">
        <v>86</v>
      </c>
      <c r="N198" s="24" t="s">
        <v>185</v>
      </c>
      <c r="O198" s="25" t="s">
        <v>208</v>
      </c>
      <c r="P198" s="112" t="s">
        <v>463</v>
      </c>
      <c r="Q198" s="94" t="s">
        <v>320</v>
      </c>
      <c r="R198" s="95">
        <f>Tabla1[[#This Row],[Origin Date ]]+3</f>
        <v>45808</v>
      </c>
      <c r="S198" s="2"/>
      <c r="T198" s="96" t="str">
        <f t="shared" si="46"/>
        <v>-</v>
      </c>
      <c r="U198" s="148" t="str">
        <f t="shared" ca="1" si="32"/>
        <v>Atrasada</v>
      </c>
      <c r="V198" s="24" t="str">
        <f t="shared" si="33"/>
        <v>Abierta</v>
      </c>
      <c r="W198" s="51">
        <v>0.2</v>
      </c>
      <c r="X198" s="54"/>
      <c r="Y198" s="28" t="s">
        <v>58</v>
      </c>
      <c r="Z198" s="97"/>
      <c r="AA198" s="97"/>
      <c r="AB198" s="52">
        <f>Tabla1[[#This Row],[Fecha de Entrega
End Date]]+$Z198</f>
        <v>0</v>
      </c>
      <c r="AC198" s="98"/>
      <c r="AD198" s="53" t="s">
        <v>585</v>
      </c>
      <c r="AE198" s="99"/>
    </row>
    <row r="199" spans="1:31" ht="39.75" customHeight="1" x14ac:dyDescent="0.3">
      <c r="A199" s="2">
        <v>45805</v>
      </c>
      <c r="B199" s="111">
        <f t="shared" si="45"/>
        <v>195</v>
      </c>
      <c r="C199" s="22"/>
      <c r="D199" s="22"/>
      <c r="E199" s="21" t="s">
        <v>817</v>
      </c>
      <c r="F199" s="21" t="s">
        <v>779</v>
      </c>
      <c r="G199" s="81" t="s">
        <v>537</v>
      </c>
      <c r="H199" s="127" t="str">
        <f t="shared" si="41"/>
        <v>ATENDIDO</v>
      </c>
      <c r="I199" s="24" t="s">
        <v>21</v>
      </c>
      <c r="J199" s="24" t="s">
        <v>10</v>
      </c>
      <c r="K199" s="24" t="s">
        <v>124</v>
      </c>
      <c r="L199" s="24" t="s">
        <v>77</v>
      </c>
      <c r="M199" s="94" t="s">
        <v>86</v>
      </c>
      <c r="N199" s="24" t="s">
        <v>185</v>
      </c>
      <c r="O199" s="25" t="s">
        <v>208</v>
      </c>
      <c r="P199" s="112" t="s">
        <v>463</v>
      </c>
      <c r="Q199" s="94" t="s">
        <v>229</v>
      </c>
      <c r="R199" s="95">
        <f>Tabla1[[#This Row],[Origin Date ]]+3</f>
        <v>45808</v>
      </c>
      <c r="S199" s="2">
        <v>45811</v>
      </c>
      <c r="T199" s="96">
        <f t="shared" si="46"/>
        <v>3</v>
      </c>
      <c r="U199" s="148" t="str">
        <f t="shared" si="32"/>
        <v>Realizada a Tiempo</v>
      </c>
      <c r="V199" s="24" t="str">
        <f t="shared" si="33"/>
        <v>Cerrada</v>
      </c>
      <c r="W199" s="51">
        <v>0.9</v>
      </c>
      <c r="X199" s="54"/>
      <c r="Y199" s="28" t="s">
        <v>58</v>
      </c>
      <c r="Z199" s="97"/>
      <c r="AA199" s="97"/>
      <c r="AB199" s="52">
        <f>Tabla1[[#This Row],[Fecha de Entrega
End Date]]+$Z199</f>
        <v>45811</v>
      </c>
      <c r="AC199" s="98"/>
      <c r="AD199" s="53" t="s">
        <v>386</v>
      </c>
      <c r="AE199" s="37" t="s">
        <v>780</v>
      </c>
    </row>
    <row r="200" spans="1:31" ht="43.5" customHeight="1" x14ac:dyDescent="0.3">
      <c r="A200" s="2">
        <v>45805</v>
      </c>
      <c r="B200" s="111">
        <f t="shared" si="45"/>
        <v>196</v>
      </c>
      <c r="C200" s="22"/>
      <c r="D200" s="22"/>
      <c r="E200" s="21" t="s">
        <v>838</v>
      </c>
      <c r="F200" s="21" t="s">
        <v>777</v>
      </c>
      <c r="G200" s="81" t="s">
        <v>537</v>
      </c>
      <c r="H200" s="127" t="str">
        <f t="shared" si="41"/>
        <v>ATENDIDO</v>
      </c>
      <c r="I200" s="24" t="s">
        <v>21</v>
      </c>
      <c r="J200" s="24" t="s">
        <v>10</v>
      </c>
      <c r="K200" s="24" t="s">
        <v>124</v>
      </c>
      <c r="L200" s="24" t="s">
        <v>77</v>
      </c>
      <c r="M200" s="94" t="s">
        <v>86</v>
      </c>
      <c r="N200" s="24" t="s">
        <v>185</v>
      </c>
      <c r="O200" s="25" t="s">
        <v>208</v>
      </c>
      <c r="P200" s="112" t="s">
        <v>463</v>
      </c>
      <c r="Q200" s="94" t="s">
        <v>320</v>
      </c>
      <c r="R200" s="95">
        <f>Tabla1[[#This Row],[Origin Date ]]+3</f>
        <v>45808</v>
      </c>
      <c r="S200" s="2">
        <v>45812</v>
      </c>
      <c r="T200" s="96">
        <f t="shared" si="46"/>
        <v>4</v>
      </c>
      <c r="U200" s="148" t="str">
        <f t="shared" si="32"/>
        <v>Realizada a Tiempo</v>
      </c>
      <c r="V200" s="24" t="str">
        <f t="shared" si="33"/>
        <v>Cerrada</v>
      </c>
      <c r="W200" s="51">
        <v>1</v>
      </c>
      <c r="X200" s="54" t="s">
        <v>839</v>
      </c>
      <c r="Y200" s="28" t="s">
        <v>58</v>
      </c>
      <c r="Z200" s="97">
        <v>30</v>
      </c>
      <c r="AA200" s="97" t="s">
        <v>51</v>
      </c>
      <c r="AB200" s="52">
        <f>Tabla1[[#This Row],[Fecha de Entrega
End Date]]+$Z200</f>
        <v>45842</v>
      </c>
      <c r="AC200" s="84" t="s">
        <v>813</v>
      </c>
      <c r="AD200" s="53" t="s">
        <v>387</v>
      </c>
      <c r="AE200" s="99"/>
    </row>
    <row r="201" spans="1:31" ht="34.5" customHeight="1" x14ac:dyDescent="0.3">
      <c r="A201" s="2">
        <v>45803</v>
      </c>
      <c r="B201" s="111">
        <f t="shared" si="45"/>
        <v>197</v>
      </c>
      <c r="C201" s="22"/>
      <c r="D201" s="22"/>
      <c r="E201" s="21" t="s">
        <v>792</v>
      </c>
      <c r="F201" s="21" t="s">
        <v>781</v>
      </c>
      <c r="G201" s="81" t="s">
        <v>784</v>
      </c>
      <c r="H201" s="127" t="str">
        <f t="shared" si="41"/>
        <v>ATENDIDO</v>
      </c>
      <c r="I201" s="24" t="s">
        <v>97</v>
      </c>
      <c r="J201" s="24" t="s">
        <v>16</v>
      </c>
      <c r="K201" s="24" t="s">
        <v>60</v>
      </c>
      <c r="L201" s="24" t="s">
        <v>77</v>
      </c>
      <c r="M201" s="94" t="s">
        <v>86</v>
      </c>
      <c r="N201" s="24" t="s">
        <v>185</v>
      </c>
      <c r="O201" s="25" t="s">
        <v>208</v>
      </c>
      <c r="P201" s="112" t="s">
        <v>687</v>
      </c>
      <c r="Q201" s="94" t="s">
        <v>229</v>
      </c>
      <c r="R201" s="95">
        <f>Tabla1[[#This Row],[Origin Date ]]+3</f>
        <v>45806</v>
      </c>
      <c r="S201" s="2">
        <v>45806</v>
      </c>
      <c r="T201" s="96">
        <f t="shared" si="46"/>
        <v>0</v>
      </c>
      <c r="U201" s="148" t="str">
        <f t="shared" si="32"/>
        <v>Realizada a Tiempo</v>
      </c>
      <c r="V201" s="24" t="str">
        <f t="shared" si="33"/>
        <v>Cerrada</v>
      </c>
      <c r="W201" s="51">
        <v>0.9</v>
      </c>
      <c r="X201" s="54" t="s">
        <v>790</v>
      </c>
      <c r="Y201" s="28" t="s">
        <v>58</v>
      </c>
      <c r="Z201" s="97">
        <v>30</v>
      </c>
      <c r="AA201" s="97" t="s">
        <v>52</v>
      </c>
      <c r="AB201" s="52">
        <f>Tabla1[[#This Row],[Fecha de Entrega
End Date]]+$Z201</f>
        <v>45836</v>
      </c>
      <c r="AC201" s="100" t="s">
        <v>789</v>
      </c>
      <c r="AD201" s="53" t="s">
        <v>386</v>
      </c>
      <c r="AE201" s="37"/>
    </row>
    <row r="202" spans="1:31" ht="41.25" customHeight="1" x14ac:dyDescent="0.3">
      <c r="A202" s="2">
        <v>45805</v>
      </c>
      <c r="B202" s="111">
        <f t="shared" si="45"/>
        <v>198</v>
      </c>
      <c r="C202" s="22"/>
      <c r="D202" s="22"/>
      <c r="E202" s="21" t="s">
        <v>840</v>
      </c>
      <c r="F202" s="21" t="s">
        <v>783</v>
      </c>
      <c r="G202" s="81" t="s">
        <v>760</v>
      </c>
      <c r="H202" s="127" t="str">
        <f t="shared" si="41"/>
        <v>ATENDIDO</v>
      </c>
      <c r="I202" s="24" t="s">
        <v>61</v>
      </c>
      <c r="J202" s="24" t="s">
        <v>16</v>
      </c>
      <c r="K202" s="24" t="s">
        <v>116</v>
      </c>
      <c r="L202" s="24" t="s">
        <v>77</v>
      </c>
      <c r="M202" s="94" t="s">
        <v>86</v>
      </c>
      <c r="N202" s="24" t="s">
        <v>209</v>
      </c>
      <c r="O202" s="25" t="s">
        <v>208</v>
      </c>
      <c r="P202" s="112" t="s">
        <v>73</v>
      </c>
      <c r="Q202" s="94" t="s">
        <v>93</v>
      </c>
      <c r="R202" s="95">
        <f>Tabla1[[#This Row],[Origin Date ]]+3</f>
        <v>45808</v>
      </c>
      <c r="S202" s="2">
        <v>45807</v>
      </c>
      <c r="T202" s="96">
        <f t="shared" si="46"/>
        <v>-1</v>
      </c>
      <c r="U202" s="148" t="str">
        <f t="shared" si="32"/>
        <v>Realizada a Tiempo</v>
      </c>
      <c r="V202" s="24" t="str">
        <f t="shared" si="33"/>
        <v>Cerrada</v>
      </c>
      <c r="W202" s="51">
        <v>1</v>
      </c>
      <c r="X202" s="54"/>
      <c r="Y202" s="28" t="s">
        <v>58</v>
      </c>
      <c r="Z202" s="97">
        <v>30</v>
      </c>
      <c r="AA202" s="97" t="s">
        <v>51</v>
      </c>
      <c r="AB202" s="52">
        <f>Tabla1[[#This Row],[Fecha de Entrega
End Date]]+$Z202</f>
        <v>45837</v>
      </c>
      <c r="AC202" s="84" t="s">
        <v>900</v>
      </c>
      <c r="AD202" s="53" t="s">
        <v>386</v>
      </c>
      <c r="AE202" s="99"/>
    </row>
    <row r="203" spans="1:31" ht="39.75" customHeight="1" x14ac:dyDescent="0.3">
      <c r="A203" s="2">
        <v>45805</v>
      </c>
      <c r="B203" s="111">
        <f t="shared" si="45"/>
        <v>199</v>
      </c>
      <c r="C203" s="22"/>
      <c r="D203" s="22"/>
      <c r="E203" s="21" t="s">
        <v>795</v>
      </c>
      <c r="F203" s="21" t="s">
        <v>785</v>
      </c>
      <c r="G203" s="81" t="s">
        <v>760</v>
      </c>
      <c r="H203" s="127" t="str">
        <f t="shared" si="41"/>
        <v>ATENDIDO</v>
      </c>
      <c r="I203" s="24" t="s">
        <v>61</v>
      </c>
      <c r="J203" s="24" t="s">
        <v>16</v>
      </c>
      <c r="K203" s="24" t="s">
        <v>116</v>
      </c>
      <c r="L203" s="24" t="s">
        <v>77</v>
      </c>
      <c r="M203" s="94" t="s">
        <v>86</v>
      </c>
      <c r="N203" s="24" t="s">
        <v>209</v>
      </c>
      <c r="O203" s="25" t="s">
        <v>208</v>
      </c>
      <c r="P203" s="112" t="s">
        <v>73</v>
      </c>
      <c r="Q203" s="94" t="s">
        <v>229</v>
      </c>
      <c r="R203" s="95">
        <f>Tabla1[[#This Row],[Origin Date ]]+3</f>
        <v>45808</v>
      </c>
      <c r="S203" s="2">
        <v>45807</v>
      </c>
      <c r="T203" s="96">
        <f t="shared" si="46"/>
        <v>-1</v>
      </c>
      <c r="U203" s="148" t="str">
        <f t="shared" si="32"/>
        <v>Realizada a Tiempo</v>
      </c>
      <c r="V203" s="24" t="str">
        <f t="shared" si="33"/>
        <v>Cerrada</v>
      </c>
      <c r="W203" s="51">
        <v>1</v>
      </c>
      <c r="X203" s="54" t="s">
        <v>797</v>
      </c>
      <c r="Y203" s="28" t="s">
        <v>58</v>
      </c>
      <c r="Z203" s="97">
        <v>30</v>
      </c>
      <c r="AA203" s="97" t="s">
        <v>52</v>
      </c>
      <c r="AB203" s="52">
        <f>Tabla1[[#This Row],[Fecha de Entrega
End Date]]+$Z203</f>
        <v>45837</v>
      </c>
      <c r="AC203" s="84" t="s">
        <v>796</v>
      </c>
      <c r="AD203" s="53" t="s">
        <v>386</v>
      </c>
      <c r="AE203" s="99"/>
    </row>
    <row r="204" spans="1:31" ht="42" customHeight="1" x14ac:dyDescent="0.3">
      <c r="A204" s="2">
        <v>45805</v>
      </c>
      <c r="B204" s="111">
        <f t="shared" si="45"/>
        <v>200</v>
      </c>
      <c r="C204" s="22"/>
      <c r="D204" s="22"/>
      <c r="E204" s="21" t="s">
        <v>793</v>
      </c>
      <c r="F204" s="21" t="s">
        <v>786</v>
      </c>
      <c r="G204" s="81" t="s">
        <v>734</v>
      </c>
      <c r="H204" s="127" t="str">
        <f t="shared" si="41"/>
        <v>ATENDIDO</v>
      </c>
      <c r="I204" s="24" t="s">
        <v>22</v>
      </c>
      <c r="J204" s="24" t="s">
        <v>10</v>
      </c>
      <c r="K204" s="24" t="s">
        <v>125</v>
      </c>
      <c r="L204" s="24" t="s">
        <v>87</v>
      </c>
      <c r="M204" s="94" t="s">
        <v>82</v>
      </c>
      <c r="N204" s="24" t="s">
        <v>211</v>
      </c>
      <c r="O204" s="25" t="s">
        <v>208</v>
      </c>
      <c r="P204" s="112" t="s">
        <v>181</v>
      </c>
      <c r="Q204" s="94" t="s">
        <v>320</v>
      </c>
      <c r="R204" s="95">
        <f>Tabla1[[#This Row],[Origin Date ]]+3</f>
        <v>45808</v>
      </c>
      <c r="S204" s="2">
        <v>45808</v>
      </c>
      <c r="T204" s="96">
        <f t="shared" si="46"/>
        <v>0</v>
      </c>
      <c r="U204" s="148" t="str">
        <f t="shared" si="32"/>
        <v>Realizada a Tiempo</v>
      </c>
      <c r="V204" s="24" t="str">
        <f t="shared" si="33"/>
        <v>Cerrada</v>
      </c>
      <c r="W204" s="51">
        <v>0.8</v>
      </c>
      <c r="X204" s="54" t="s">
        <v>847</v>
      </c>
      <c r="Y204" s="28" t="s">
        <v>58</v>
      </c>
      <c r="Z204" s="97">
        <v>30</v>
      </c>
      <c r="AA204" s="97" t="s">
        <v>52</v>
      </c>
      <c r="AB204" s="52">
        <f>Tabla1[[#This Row],[Fecha de Entrega
End Date]]+$Z204</f>
        <v>45838</v>
      </c>
      <c r="AC204" s="84" t="s">
        <v>848</v>
      </c>
      <c r="AD204" s="53" t="s">
        <v>386</v>
      </c>
      <c r="AE204" s="37" t="s">
        <v>791</v>
      </c>
    </row>
    <row r="205" spans="1:31" ht="36.75" customHeight="1" x14ac:dyDescent="0.3">
      <c r="A205" s="2">
        <v>45805</v>
      </c>
      <c r="B205" s="111">
        <f t="shared" si="45"/>
        <v>201</v>
      </c>
      <c r="C205" s="22"/>
      <c r="D205" s="22"/>
      <c r="E205" s="21" t="s">
        <v>841</v>
      </c>
      <c r="F205" s="21" t="s">
        <v>798</v>
      </c>
      <c r="G205" s="81" t="s">
        <v>804</v>
      </c>
      <c r="H205" s="127" t="str">
        <f t="shared" si="41"/>
        <v>ATENDIDO</v>
      </c>
      <c r="I205" s="24" t="s">
        <v>22</v>
      </c>
      <c r="J205" s="24" t="s">
        <v>16</v>
      </c>
      <c r="K205" s="24" t="s">
        <v>102</v>
      </c>
      <c r="L205" s="24" t="s">
        <v>77</v>
      </c>
      <c r="M205" s="94" t="s">
        <v>84</v>
      </c>
      <c r="N205" s="24" t="s">
        <v>211</v>
      </c>
      <c r="O205" s="25" t="s">
        <v>208</v>
      </c>
      <c r="P205" s="112" t="s">
        <v>181</v>
      </c>
      <c r="Q205" s="94" t="s">
        <v>229</v>
      </c>
      <c r="R205" s="95">
        <f>Tabla1[[#This Row],[Origin Date ]]+3</f>
        <v>45808</v>
      </c>
      <c r="S205" s="2">
        <v>45808</v>
      </c>
      <c r="T205" s="96">
        <f t="shared" si="46"/>
        <v>0</v>
      </c>
      <c r="U205" s="148" t="str">
        <f t="shared" si="32"/>
        <v>Realizada a Tiempo</v>
      </c>
      <c r="V205" s="24" t="str">
        <f t="shared" si="33"/>
        <v>Cerrada</v>
      </c>
      <c r="W205" s="51">
        <v>0.9</v>
      </c>
      <c r="X205" s="54" t="s">
        <v>852</v>
      </c>
      <c r="Y205" s="28" t="s">
        <v>58</v>
      </c>
      <c r="Z205" s="97">
        <v>30</v>
      </c>
      <c r="AA205" s="97" t="s">
        <v>51</v>
      </c>
      <c r="AB205" s="52">
        <f>Tabla1[[#This Row],[Fecha de Entrega
End Date]]+$Z205</f>
        <v>45838</v>
      </c>
      <c r="AC205" s="84" t="s">
        <v>849</v>
      </c>
      <c r="AD205" s="53" t="s">
        <v>386</v>
      </c>
      <c r="AE205" s="99"/>
    </row>
    <row r="206" spans="1:31" ht="45.75" customHeight="1" x14ac:dyDescent="0.3">
      <c r="A206" s="2">
        <v>45805</v>
      </c>
      <c r="B206" s="111">
        <f t="shared" si="45"/>
        <v>202</v>
      </c>
      <c r="C206" s="22"/>
      <c r="D206" s="22"/>
      <c r="E206" s="21" t="s">
        <v>842</v>
      </c>
      <c r="F206" s="21" t="s">
        <v>799</v>
      </c>
      <c r="G206" s="81" t="s">
        <v>760</v>
      </c>
      <c r="H206" s="127" t="str">
        <f t="shared" si="41"/>
        <v>ATENDIDO</v>
      </c>
      <c r="I206" s="24" t="s">
        <v>22</v>
      </c>
      <c r="J206" s="24" t="s">
        <v>16</v>
      </c>
      <c r="K206" s="24" t="s">
        <v>102</v>
      </c>
      <c r="L206" s="24" t="s">
        <v>77</v>
      </c>
      <c r="M206" s="94" t="s">
        <v>84</v>
      </c>
      <c r="N206" s="24" t="s">
        <v>211</v>
      </c>
      <c r="O206" s="25" t="s">
        <v>208</v>
      </c>
      <c r="P206" s="112" t="s">
        <v>181</v>
      </c>
      <c r="Q206" s="94" t="s">
        <v>229</v>
      </c>
      <c r="R206" s="95">
        <f>Tabla1[[#This Row],[Origin Date ]]+3</f>
        <v>45808</v>
      </c>
      <c r="S206" s="2">
        <v>45814</v>
      </c>
      <c r="T206" s="96">
        <f t="shared" si="46"/>
        <v>6</v>
      </c>
      <c r="U206" s="148" t="str">
        <f t="shared" si="32"/>
        <v>Realizada a Tiempo</v>
      </c>
      <c r="V206" s="24" t="str">
        <f t="shared" si="33"/>
        <v>Cerrada</v>
      </c>
      <c r="W206" s="51">
        <v>1</v>
      </c>
      <c r="X206" s="54" t="s">
        <v>851</v>
      </c>
      <c r="Y206" s="28" t="s">
        <v>58</v>
      </c>
      <c r="Z206" s="97">
        <v>30</v>
      </c>
      <c r="AA206" s="97" t="s">
        <v>51</v>
      </c>
      <c r="AB206" s="52">
        <f>Tabla1[[#This Row],[Fecha de Entrega
End Date]]+$Z206</f>
        <v>45844</v>
      </c>
      <c r="AC206" s="84" t="s">
        <v>850</v>
      </c>
      <c r="AD206" s="53" t="s">
        <v>386</v>
      </c>
      <c r="AE206" s="37"/>
    </row>
    <row r="207" spans="1:31" ht="42" customHeight="1" x14ac:dyDescent="0.3">
      <c r="A207" s="2">
        <v>45805</v>
      </c>
      <c r="B207" s="111">
        <f t="shared" si="45"/>
        <v>203</v>
      </c>
      <c r="C207" s="22"/>
      <c r="D207" s="22"/>
      <c r="E207" s="21" t="s">
        <v>843</v>
      </c>
      <c r="F207" s="21" t="s">
        <v>800</v>
      </c>
      <c r="G207" s="81" t="s">
        <v>552</v>
      </c>
      <c r="H207" s="127" t="str">
        <f t="shared" si="41"/>
        <v>ATENDIDO</v>
      </c>
      <c r="I207" s="24" t="s">
        <v>21</v>
      </c>
      <c r="J207" s="24" t="s">
        <v>10</v>
      </c>
      <c r="K207" s="24" t="s">
        <v>801</v>
      </c>
      <c r="L207" s="24" t="s">
        <v>77</v>
      </c>
      <c r="M207" s="94" t="s">
        <v>82</v>
      </c>
      <c r="N207" s="24" t="s">
        <v>185</v>
      </c>
      <c r="O207" s="25" t="s">
        <v>208</v>
      </c>
      <c r="P207" s="112" t="s">
        <v>846</v>
      </c>
      <c r="Q207" s="94" t="s">
        <v>320</v>
      </c>
      <c r="R207" s="95">
        <f>Tabla1[[#This Row],[Origin Date ]]+3</f>
        <v>45808</v>
      </c>
      <c r="S207" s="2">
        <v>45810</v>
      </c>
      <c r="T207" s="96">
        <f t="shared" ref="T207:T258" si="47">IF((R207=""),"",IF((V207="Cerrada"),(S207-R207),IF((($AA$2-R207)&lt;=0),"-",($AA$2-R207))))</f>
        <v>2</v>
      </c>
      <c r="U207" s="148" t="str">
        <f t="shared" si="32"/>
        <v>Realizada a Tiempo</v>
      </c>
      <c r="V207" s="24" t="str">
        <f t="shared" si="33"/>
        <v>Cerrada</v>
      </c>
      <c r="W207" s="51">
        <v>1</v>
      </c>
      <c r="X207" s="54" t="s">
        <v>853</v>
      </c>
      <c r="Y207" s="28" t="s">
        <v>58</v>
      </c>
      <c r="Z207" s="97">
        <v>30</v>
      </c>
      <c r="AA207" s="97" t="s">
        <v>51</v>
      </c>
      <c r="AB207" s="52">
        <f>Tabla1[[#This Row],[Fecha de Entrega
End Date]]+$Z207</f>
        <v>45840</v>
      </c>
      <c r="AC207" s="98"/>
      <c r="AD207" s="53" t="s">
        <v>387</v>
      </c>
      <c r="AE207" s="99"/>
    </row>
    <row r="208" spans="1:31" ht="43.5" customHeight="1" x14ac:dyDescent="0.3">
      <c r="A208" s="2">
        <v>45805</v>
      </c>
      <c r="B208" s="111">
        <f t="shared" si="45"/>
        <v>204</v>
      </c>
      <c r="C208" s="22"/>
      <c r="D208" s="22"/>
      <c r="E208" s="21" t="s">
        <v>1121</v>
      </c>
      <c r="F208" s="21" t="s">
        <v>1120</v>
      </c>
      <c r="G208" s="81" t="s">
        <v>760</v>
      </c>
      <c r="H208" s="127" t="str">
        <f t="shared" si="41"/>
        <v>ATENDIDO</v>
      </c>
      <c r="I208" s="24" t="s">
        <v>22</v>
      </c>
      <c r="J208" s="24" t="s">
        <v>16</v>
      </c>
      <c r="K208" s="24" t="s">
        <v>102</v>
      </c>
      <c r="L208" s="24" t="s">
        <v>77</v>
      </c>
      <c r="M208" s="94" t="s">
        <v>82</v>
      </c>
      <c r="N208" s="24" t="s">
        <v>211</v>
      </c>
      <c r="O208" s="25" t="s">
        <v>208</v>
      </c>
      <c r="P208" s="112" t="s">
        <v>181</v>
      </c>
      <c r="Q208" s="24" t="s">
        <v>229</v>
      </c>
      <c r="R208" s="95">
        <f>Tabla1[[#This Row],[Origin Date ]]+3</f>
        <v>45808</v>
      </c>
      <c r="S208" s="2">
        <v>45814</v>
      </c>
      <c r="T208" s="96">
        <f t="shared" si="47"/>
        <v>6</v>
      </c>
      <c r="U208" s="148" t="str">
        <f t="shared" si="32"/>
        <v>Realizada a Tiempo</v>
      </c>
      <c r="V208" s="24" t="str">
        <f t="shared" si="33"/>
        <v>Cerrada</v>
      </c>
      <c r="W208" s="51">
        <v>0.5</v>
      </c>
      <c r="X208" s="54" t="s">
        <v>902</v>
      </c>
      <c r="Y208" s="28" t="s">
        <v>58</v>
      </c>
      <c r="Z208" s="97">
        <v>60</v>
      </c>
      <c r="AA208" s="97" t="s">
        <v>52</v>
      </c>
      <c r="AB208" s="52">
        <f>Tabla1[[#This Row],[Fecha de Entrega
End Date]]+$Z208</f>
        <v>45874</v>
      </c>
      <c r="AC208" s="84" t="s">
        <v>901</v>
      </c>
      <c r="AD208" s="53" t="s">
        <v>585</v>
      </c>
      <c r="AE208" s="37" t="s">
        <v>835</v>
      </c>
    </row>
    <row r="209" spans="1:31" ht="30.75" customHeight="1" x14ac:dyDescent="0.3">
      <c r="A209" s="2">
        <v>45810</v>
      </c>
      <c r="B209" s="111">
        <f t="shared" si="45"/>
        <v>205</v>
      </c>
      <c r="C209" s="22"/>
      <c r="D209" s="22"/>
      <c r="E209" s="21" t="s">
        <v>844</v>
      </c>
      <c r="F209" s="21" t="s">
        <v>802</v>
      </c>
      <c r="G209" s="81" t="s">
        <v>574</v>
      </c>
      <c r="H209" s="127" t="str">
        <f t="shared" si="41"/>
        <v>ATENDIDO</v>
      </c>
      <c r="I209" s="24" t="s">
        <v>21</v>
      </c>
      <c r="J209" s="24" t="s">
        <v>16</v>
      </c>
      <c r="K209" s="24" t="s">
        <v>116</v>
      </c>
      <c r="L209" s="24" t="s">
        <v>77</v>
      </c>
      <c r="M209" s="94" t="s">
        <v>94</v>
      </c>
      <c r="N209" s="24" t="s">
        <v>209</v>
      </c>
      <c r="O209" s="25" t="s">
        <v>208</v>
      </c>
      <c r="P209" s="112" t="s">
        <v>73</v>
      </c>
      <c r="Q209" s="94" t="s">
        <v>320</v>
      </c>
      <c r="R209" s="95">
        <f>Tabla1[[#This Row],[Origin Date ]]+3</f>
        <v>45813</v>
      </c>
      <c r="S209" s="2">
        <v>45812</v>
      </c>
      <c r="T209" s="96">
        <f t="shared" si="47"/>
        <v>-1</v>
      </c>
      <c r="U209" s="148" t="str">
        <f t="shared" si="32"/>
        <v>Realizada a Tiempo</v>
      </c>
      <c r="V209" s="24" t="str">
        <f t="shared" si="33"/>
        <v>Cerrada</v>
      </c>
      <c r="W209" s="51">
        <v>1</v>
      </c>
      <c r="X209" s="54" t="s">
        <v>854</v>
      </c>
      <c r="Y209" s="28" t="s">
        <v>58</v>
      </c>
      <c r="Z209" s="97">
        <v>30</v>
      </c>
      <c r="AA209" s="97" t="s">
        <v>51</v>
      </c>
      <c r="AB209" s="52">
        <f>Tabla1[[#This Row],[Fecha de Entrega
End Date]]+$Z209</f>
        <v>45842</v>
      </c>
      <c r="AC209" s="84" t="s">
        <v>855</v>
      </c>
      <c r="AD209" s="53" t="s">
        <v>386</v>
      </c>
      <c r="AE209" s="99"/>
    </row>
    <row r="210" spans="1:31" ht="45.75" customHeight="1" x14ac:dyDescent="0.3">
      <c r="A210" s="2">
        <v>45812</v>
      </c>
      <c r="B210" s="111">
        <f t="shared" si="45"/>
        <v>206</v>
      </c>
      <c r="C210" s="22"/>
      <c r="D210" s="22"/>
      <c r="E210" s="21" t="s">
        <v>845</v>
      </c>
      <c r="F210" s="21" t="s">
        <v>803</v>
      </c>
      <c r="G210" s="81" t="s">
        <v>574</v>
      </c>
      <c r="H210" s="127" t="str">
        <f t="shared" si="41"/>
        <v>ATENDIDO</v>
      </c>
      <c r="I210" s="24" t="s">
        <v>21</v>
      </c>
      <c r="J210" s="24" t="s">
        <v>10</v>
      </c>
      <c r="K210" s="24" t="s">
        <v>116</v>
      </c>
      <c r="L210" s="24" t="s">
        <v>77</v>
      </c>
      <c r="M210" s="94" t="s">
        <v>94</v>
      </c>
      <c r="N210" s="24" t="s">
        <v>209</v>
      </c>
      <c r="O210" s="25" t="s">
        <v>208</v>
      </c>
      <c r="P210" s="112" t="s">
        <v>73</v>
      </c>
      <c r="Q210" s="94" t="s">
        <v>93</v>
      </c>
      <c r="R210" s="95">
        <f>Tabla1[[#This Row],[Origin Date ]]+3</f>
        <v>45815</v>
      </c>
      <c r="S210" s="2">
        <v>45815</v>
      </c>
      <c r="T210" s="96">
        <f t="shared" si="47"/>
        <v>0</v>
      </c>
      <c r="U210" s="148" t="str">
        <f t="shared" si="32"/>
        <v>Realizada a Tiempo</v>
      </c>
      <c r="V210" s="24" t="str">
        <f t="shared" si="33"/>
        <v>Cerrada</v>
      </c>
      <c r="W210" s="51">
        <v>0.8</v>
      </c>
      <c r="X210" s="54" t="s">
        <v>875</v>
      </c>
      <c r="Y210" s="28" t="s">
        <v>58</v>
      </c>
      <c r="Z210" s="97">
        <v>90</v>
      </c>
      <c r="AA210" s="97" t="s">
        <v>52</v>
      </c>
      <c r="AB210" s="52">
        <f>Tabla1[[#This Row],[Fecha de Entrega
End Date]]+$Z210</f>
        <v>45905</v>
      </c>
      <c r="AC210" s="98"/>
      <c r="AD210" s="53" t="s">
        <v>386</v>
      </c>
      <c r="AE210" s="37" t="s">
        <v>833</v>
      </c>
    </row>
    <row r="211" spans="1:31" ht="40.5" customHeight="1" x14ac:dyDescent="0.3">
      <c r="A211" s="2">
        <v>45811</v>
      </c>
      <c r="B211" s="111">
        <f t="shared" si="45"/>
        <v>207</v>
      </c>
      <c r="C211" s="22"/>
      <c r="D211" s="22"/>
      <c r="E211" s="21" t="s">
        <v>859</v>
      </c>
      <c r="F211" s="21" t="s">
        <v>805</v>
      </c>
      <c r="G211" s="81" t="s">
        <v>537</v>
      </c>
      <c r="H211" s="127" t="str">
        <f t="shared" si="41"/>
        <v>ATENDIDO</v>
      </c>
      <c r="I211" s="24" t="s">
        <v>21</v>
      </c>
      <c r="J211" s="24" t="s">
        <v>16</v>
      </c>
      <c r="K211" s="24" t="s">
        <v>124</v>
      </c>
      <c r="L211" s="24" t="s">
        <v>77</v>
      </c>
      <c r="M211" s="94" t="s">
        <v>94</v>
      </c>
      <c r="N211" s="24" t="s">
        <v>185</v>
      </c>
      <c r="O211" s="25" t="s">
        <v>208</v>
      </c>
      <c r="P211" s="112"/>
      <c r="Q211" s="94" t="s">
        <v>229</v>
      </c>
      <c r="R211" s="95">
        <f>Tabla1[[#This Row],[Origin Date ]]+3</f>
        <v>45814</v>
      </c>
      <c r="S211" s="2">
        <v>45814</v>
      </c>
      <c r="T211" s="96">
        <f t="shared" si="47"/>
        <v>0</v>
      </c>
      <c r="U211" s="148" t="str">
        <f t="shared" si="32"/>
        <v>Realizada a Tiempo</v>
      </c>
      <c r="V211" s="24" t="str">
        <f t="shared" si="33"/>
        <v>Cerrada</v>
      </c>
      <c r="W211" s="51">
        <v>1</v>
      </c>
      <c r="X211" s="54" t="s">
        <v>879</v>
      </c>
      <c r="Y211" s="28" t="s">
        <v>58</v>
      </c>
      <c r="Z211" s="97">
        <v>90</v>
      </c>
      <c r="AA211" s="97" t="s">
        <v>51</v>
      </c>
      <c r="AB211" s="52">
        <f>Tabla1[[#This Row],[Fecha de Entrega
End Date]]+$Z211</f>
        <v>45904</v>
      </c>
      <c r="AC211" s="84" t="s">
        <v>878</v>
      </c>
      <c r="AD211" s="53" t="s">
        <v>386</v>
      </c>
      <c r="AE211" s="99"/>
    </row>
    <row r="212" spans="1:31" ht="36.75" customHeight="1" x14ac:dyDescent="0.3">
      <c r="A212" s="2">
        <v>45812</v>
      </c>
      <c r="B212" s="111">
        <f t="shared" si="45"/>
        <v>208</v>
      </c>
      <c r="C212" s="22"/>
      <c r="D212" s="22"/>
      <c r="E212" s="21" t="s">
        <v>860</v>
      </c>
      <c r="F212" s="21" t="s">
        <v>806</v>
      </c>
      <c r="G212" s="81" t="s">
        <v>734</v>
      </c>
      <c r="H212" s="127" t="str">
        <f t="shared" si="41"/>
        <v>ATENDIDO</v>
      </c>
      <c r="I212" s="24" t="s">
        <v>21</v>
      </c>
      <c r="J212" s="24" t="s">
        <v>10</v>
      </c>
      <c r="K212" s="24" t="s">
        <v>124</v>
      </c>
      <c r="L212" s="24" t="s">
        <v>87</v>
      </c>
      <c r="M212" s="94" t="s">
        <v>86</v>
      </c>
      <c r="N212" s="24" t="s">
        <v>185</v>
      </c>
      <c r="O212" s="25" t="s">
        <v>208</v>
      </c>
      <c r="P212" s="112" t="s">
        <v>463</v>
      </c>
      <c r="Q212" s="94" t="s">
        <v>93</v>
      </c>
      <c r="R212" s="95">
        <f>Tabla1[[#This Row],[Origin Date ]]+3</f>
        <v>45815</v>
      </c>
      <c r="S212" s="2">
        <v>45813</v>
      </c>
      <c r="T212" s="96">
        <f t="shared" si="47"/>
        <v>-2</v>
      </c>
      <c r="U212" s="148" t="str">
        <f t="shared" si="32"/>
        <v>Realizada a Tiempo</v>
      </c>
      <c r="V212" s="24" t="str">
        <f t="shared" si="33"/>
        <v>Cerrada</v>
      </c>
      <c r="W212" s="51">
        <v>1</v>
      </c>
      <c r="X212" s="54"/>
      <c r="Y212" s="28" t="s">
        <v>58</v>
      </c>
      <c r="Z212" s="97">
        <v>90</v>
      </c>
      <c r="AA212" s="97" t="s">
        <v>52</v>
      </c>
      <c r="AB212" s="52">
        <f>Tabla1[[#This Row],[Fecha de Entrega
End Date]]+$Z212</f>
        <v>45903</v>
      </c>
      <c r="AC212" s="98"/>
      <c r="AD212" s="53" t="s">
        <v>386</v>
      </c>
      <c r="AE212" s="99"/>
    </row>
    <row r="213" spans="1:31" ht="27.75" customHeight="1" x14ac:dyDescent="0.3">
      <c r="A213" s="2">
        <v>45812</v>
      </c>
      <c r="B213" s="111">
        <f t="shared" si="45"/>
        <v>209</v>
      </c>
      <c r="C213" s="22"/>
      <c r="D213" s="22"/>
      <c r="E213" s="21" t="s">
        <v>861</v>
      </c>
      <c r="F213" s="21" t="s">
        <v>810</v>
      </c>
      <c r="G213" s="81" t="s">
        <v>808</v>
      </c>
      <c r="H213" s="127" t="str">
        <f t="shared" si="41"/>
        <v>ATENDIDO</v>
      </c>
      <c r="I213" s="24" t="s">
        <v>21</v>
      </c>
      <c r="J213" s="24" t="s">
        <v>10</v>
      </c>
      <c r="K213" s="24" t="s">
        <v>124</v>
      </c>
      <c r="L213" s="24" t="s">
        <v>87</v>
      </c>
      <c r="M213" s="94" t="s">
        <v>86</v>
      </c>
      <c r="N213" s="24" t="s">
        <v>185</v>
      </c>
      <c r="O213" s="25" t="s">
        <v>208</v>
      </c>
      <c r="P213" s="112" t="s">
        <v>463</v>
      </c>
      <c r="Q213" s="94" t="s">
        <v>320</v>
      </c>
      <c r="R213" s="95">
        <f>Tabla1[[#This Row],[Origin Date ]]+3</f>
        <v>45815</v>
      </c>
      <c r="S213" s="2">
        <v>45814</v>
      </c>
      <c r="T213" s="96">
        <f t="shared" si="47"/>
        <v>-1</v>
      </c>
      <c r="U213" s="148" t="str">
        <f t="shared" si="32"/>
        <v>Realizada a Tiempo</v>
      </c>
      <c r="V213" s="24" t="str">
        <f t="shared" si="33"/>
        <v>Cerrada</v>
      </c>
      <c r="W213" s="51">
        <v>1</v>
      </c>
      <c r="X213" s="54" t="s">
        <v>880</v>
      </c>
      <c r="Y213" s="28" t="s">
        <v>58</v>
      </c>
      <c r="Z213" s="97">
        <v>30</v>
      </c>
      <c r="AA213" s="97" t="s">
        <v>51</v>
      </c>
      <c r="AB213" s="52">
        <f>Tabla1[[#This Row],[Fecha de Entrega
End Date]]+$Z213</f>
        <v>45844</v>
      </c>
      <c r="AC213" s="84" t="s">
        <v>881</v>
      </c>
      <c r="AD213" s="53" t="s">
        <v>386</v>
      </c>
      <c r="AE213" s="99"/>
    </row>
    <row r="214" spans="1:31" ht="27.75" customHeight="1" x14ac:dyDescent="0.3">
      <c r="A214" s="2">
        <v>45812</v>
      </c>
      <c r="B214" s="111">
        <f t="shared" si="45"/>
        <v>210</v>
      </c>
      <c r="C214" s="22"/>
      <c r="D214" s="22"/>
      <c r="E214" s="21" t="s">
        <v>862</v>
      </c>
      <c r="F214" s="21" t="s">
        <v>807</v>
      </c>
      <c r="G214" s="81" t="s">
        <v>760</v>
      </c>
      <c r="H214" s="127" t="str">
        <f t="shared" si="41"/>
        <v>ATENDIDO</v>
      </c>
      <c r="I214" s="24" t="s">
        <v>21</v>
      </c>
      <c r="J214" s="24" t="s">
        <v>10</v>
      </c>
      <c r="K214" s="24" t="s">
        <v>102</v>
      </c>
      <c r="L214" s="24" t="s">
        <v>87</v>
      </c>
      <c r="M214" s="94" t="s">
        <v>86</v>
      </c>
      <c r="N214" s="24" t="s">
        <v>211</v>
      </c>
      <c r="O214" s="25" t="s">
        <v>208</v>
      </c>
      <c r="P214" s="112" t="s">
        <v>181</v>
      </c>
      <c r="Q214" s="94" t="s">
        <v>229</v>
      </c>
      <c r="R214" s="95">
        <f>Tabla1[[#This Row],[Origin Date ]]+3</f>
        <v>45815</v>
      </c>
      <c r="S214" s="2">
        <v>45813</v>
      </c>
      <c r="T214" s="96">
        <f t="shared" si="47"/>
        <v>-2</v>
      </c>
      <c r="U214" s="148" t="str">
        <f>IF((R214=""),"",IF((V214="Cerrada"),"Realizada a Tiempo",IF(OR((($AB$2-R214)=0),(($AB$2-R214)=-1),(($AB$2-R214)=-2),(($AB$2-R214)=-3)),"Tiempo Límite",IF((T214="&gt;9"),"En Proceso","Atrasada"))))</f>
        <v>Realizada a Tiempo</v>
      </c>
      <c r="V214" s="24" t="str">
        <f>IF((R214=""),"",IF((S214=""),"Abierta","Cerrada"))</f>
        <v>Cerrada</v>
      </c>
      <c r="W214" s="51">
        <v>1</v>
      </c>
      <c r="X214" s="54" t="s">
        <v>882</v>
      </c>
      <c r="Y214" s="28" t="s">
        <v>58</v>
      </c>
      <c r="Z214" s="97">
        <v>7</v>
      </c>
      <c r="AA214" s="97" t="s">
        <v>52</v>
      </c>
      <c r="AB214" s="52">
        <f>Tabla1[[#This Row],[Fecha de Entrega
End Date]]+$Z214</f>
        <v>45820</v>
      </c>
      <c r="AC214" s="84" t="s">
        <v>836</v>
      </c>
      <c r="AD214" s="53" t="s">
        <v>386</v>
      </c>
      <c r="AE214" s="99"/>
    </row>
    <row r="215" spans="1:31" ht="27" customHeight="1" x14ac:dyDescent="0.3">
      <c r="A215" s="2">
        <v>45814</v>
      </c>
      <c r="B215" s="111">
        <f t="shared" si="45"/>
        <v>211</v>
      </c>
      <c r="C215" s="22"/>
      <c r="D215" s="22"/>
      <c r="E215" s="21" t="s">
        <v>863</v>
      </c>
      <c r="F215" s="21" t="s">
        <v>809</v>
      </c>
      <c r="G215" s="81" t="s">
        <v>537</v>
      </c>
      <c r="H215" s="127" t="str">
        <f t="shared" si="41"/>
        <v>ATENDIDO</v>
      </c>
      <c r="I215" s="24" t="s">
        <v>21</v>
      </c>
      <c r="J215" s="24" t="s">
        <v>10</v>
      </c>
      <c r="K215" s="24" t="s">
        <v>102</v>
      </c>
      <c r="L215" s="24" t="s">
        <v>87</v>
      </c>
      <c r="M215" s="94" t="s">
        <v>86</v>
      </c>
      <c r="N215" s="24" t="s">
        <v>211</v>
      </c>
      <c r="O215" s="25" t="s">
        <v>208</v>
      </c>
      <c r="P215" s="112" t="s">
        <v>181</v>
      </c>
      <c r="Q215" s="94" t="s">
        <v>320</v>
      </c>
      <c r="R215" s="95">
        <f>Tabla1[[#This Row],[Origin Date ]]+3</f>
        <v>45817</v>
      </c>
      <c r="S215" s="2">
        <v>45814</v>
      </c>
      <c r="T215" s="96">
        <f t="shared" si="47"/>
        <v>-3</v>
      </c>
      <c r="U215" s="148" t="str">
        <f>IF((R215=""),"",IF((V215="Cerrada"),"Realizada a Tiempo",IF(OR((($AB$2-R215)=0),(($AB$2-R215)=-1),(($AB$2-R215)=-2),(($AB$2-R215)=-3)),"Tiempo Límite",IF((T215="&gt;9"),"En Proceso","Atrasada"))))</f>
        <v>Realizada a Tiempo</v>
      </c>
      <c r="V215" s="24" t="str">
        <f>IF((R215=""),"",IF((S215=""),"Abierta","Cerrada"))</f>
        <v>Cerrada</v>
      </c>
      <c r="W215" s="51">
        <v>1</v>
      </c>
      <c r="X215" s="54" t="s">
        <v>883</v>
      </c>
      <c r="Y215" s="28" t="s">
        <v>452</v>
      </c>
      <c r="Z215" s="97">
        <v>365</v>
      </c>
      <c r="AA215" s="97" t="s">
        <v>52</v>
      </c>
      <c r="AB215" s="52">
        <f>Tabla1[[#This Row],[Fecha de Entrega
End Date]]+$Z215</f>
        <v>46179</v>
      </c>
      <c r="AC215" s="84" t="s">
        <v>884</v>
      </c>
      <c r="AD215" s="53" t="s">
        <v>386</v>
      </c>
      <c r="AE215" s="99"/>
    </row>
    <row r="216" spans="1:31" ht="31.5" customHeight="1" x14ac:dyDescent="0.3">
      <c r="A216" s="2">
        <v>45814</v>
      </c>
      <c r="B216" s="111">
        <f t="shared" si="45"/>
        <v>212</v>
      </c>
      <c r="C216" s="22"/>
      <c r="D216" s="22"/>
      <c r="E216" s="21" t="s">
        <v>864</v>
      </c>
      <c r="F216" s="21" t="s">
        <v>819</v>
      </c>
      <c r="G216" s="81" t="s">
        <v>734</v>
      </c>
      <c r="H216" s="127" t="str">
        <f t="shared" si="41"/>
        <v>ATENDIDO</v>
      </c>
      <c r="I216" s="24" t="s">
        <v>22</v>
      </c>
      <c r="J216" s="24" t="s">
        <v>10</v>
      </c>
      <c r="K216" s="24" t="s">
        <v>17</v>
      </c>
      <c r="L216" s="24" t="s">
        <v>87</v>
      </c>
      <c r="M216" s="94" t="s">
        <v>86</v>
      </c>
      <c r="N216" s="24" t="s">
        <v>211</v>
      </c>
      <c r="O216" s="25" t="s">
        <v>208</v>
      </c>
      <c r="P216" s="112" t="s">
        <v>181</v>
      </c>
      <c r="Q216" s="94" t="s">
        <v>320</v>
      </c>
      <c r="R216" s="95">
        <f>Tabla1[[#This Row],[Origin Date ]]+3</f>
        <v>45817</v>
      </c>
      <c r="S216" s="2">
        <v>45817</v>
      </c>
      <c r="T216" s="96">
        <f t="shared" si="47"/>
        <v>0</v>
      </c>
      <c r="U216" s="148" t="str">
        <f>IF((R216=""),"",IF((V216="Cerrada"),"Realizada a Tiempo",IF(OR((($AB$2-R216)=0),(($AB$2-R216)=-1),(($AB$2-R216)=-2),(($AB$2-R216)=-3)),"Tiempo Límite",IF((T216="&gt;9"),"En Proceso","Atrasada"))))</f>
        <v>Realizada a Tiempo</v>
      </c>
      <c r="V216" s="24" t="str">
        <f>IF((R216=""),"",IF((S216=""),"Abierta","Cerrada"))</f>
        <v>Cerrada</v>
      </c>
      <c r="W216" s="51">
        <v>1</v>
      </c>
      <c r="X216" s="54" t="s">
        <v>825</v>
      </c>
      <c r="Y216" s="28" t="s">
        <v>452</v>
      </c>
      <c r="Z216" s="97">
        <v>30</v>
      </c>
      <c r="AA216" s="97" t="s">
        <v>51</v>
      </c>
      <c r="AB216" s="52">
        <f>Tabla1[[#This Row],[Fecha de Entrega
End Date]]+$Z216</f>
        <v>45847</v>
      </c>
      <c r="AC216" s="84" t="s">
        <v>826</v>
      </c>
      <c r="AD216" s="53" t="s">
        <v>386</v>
      </c>
      <c r="AE216" s="37"/>
    </row>
    <row r="217" spans="1:31" ht="27.75" customHeight="1" x14ac:dyDescent="0.3">
      <c r="A217" s="2">
        <v>45812</v>
      </c>
      <c r="B217" s="111">
        <f t="shared" si="45"/>
        <v>213</v>
      </c>
      <c r="C217" s="22"/>
      <c r="D217" s="22"/>
      <c r="E217" s="21" t="s">
        <v>865</v>
      </c>
      <c r="F217" s="21" t="s">
        <v>811</v>
      </c>
      <c r="G217" s="81" t="s">
        <v>537</v>
      </c>
      <c r="H217" s="127" t="str">
        <f t="shared" si="41"/>
        <v>ATENDIDO</v>
      </c>
      <c r="I217" s="24" t="s">
        <v>21</v>
      </c>
      <c r="J217" s="24" t="s">
        <v>16</v>
      </c>
      <c r="K217" s="24" t="s">
        <v>124</v>
      </c>
      <c r="L217" s="24" t="s">
        <v>77</v>
      </c>
      <c r="M217" s="94" t="s">
        <v>82</v>
      </c>
      <c r="N217" s="24" t="s">
        <v>185</v>
      </c>
      <c r="O217" s="25" t="s">
        <v>208</v>
      </c>
      <c r="P217" s="112" t="s">
        <v>463</v>
      </c>
      <c r="Q217" s="94" t="s">
        <v>229</v>
      </c>
      <c r="R217" s="95">
        <f>Tabla1[[#This Row],[Origin Date ]]+3</f>
        <v>45815</v>
      </c>
      <c r="S217" s="2">
        <v>45813</v>
      </c>
      <c r="T217" s="96">
        <f t="shared" si="47"/>
        <v>-2</v>
      </c>
      <c r="U217" s="148" t="str">
        <f>IF((R217=""),"",IF((V217="Cerrada"),"Realizada a Tiempo",IF(OR((($AB$2-R217)=0),(($AB$2-R217)=-1),(($AB$2-R217)=-2),(($AB$2-R217)=-3)),"Tiempo Límite",IF((T217="&gt;9"),"En Proceso","Atrasada"))))</f>
        <v>Realizada a Tiempo</v>
      </c>
      <c r="V217" s="24" t="str">
        <f>IF((R217=""),"",IF((S217=""),"Abierta","Cerrada"))</f>
        <v>Cerrada</v>
      </c>
      <c r="W217" s="51">
        <v>1</v>
      </c>
      <c r="X217" s="54" t="s">
        <v>812</v>
      </c>
      <c r="Y217" s="28" t="s">
        <v>58</v>
      </c>
      <c r="Z217" s="97">
        <v>30</v>
      </c>
      <c r="AA217" s="97" t="s">
        <v>51</v>
      </c>
      <c r="AB217" s="52">
        <f>Tabla1[[#This Row],[Fecha de Entrega
End Date]]+$Z217</f>
        <v>45843</v>
      </c>
      <c r="AC217" s="84" t="s">
        <v>813</v>
      </c>
      <c r="AD217" s="53" t="s">
        <v>386</v>
      </c>
      <c r="AE217" s="99"/>
    </row>
    <row r="218" spans="1:31" ht="38.25" customHeight="1" x14ac:dyDescent="0.3">
      <c r="A218" s="2">
        <v>45817</v>
      </c>
      <c r="B218" s="111">
        <f t="shared" si="45"/>
        <v>214</v>
      </c>
      <c r="C218" s="22"/>
      <c r="D218" s="22"/>
      <c r="E218" s="21" t="s">
        <v>856</v>
      </c>
      <c r="F218" s="21" t="s">
        <v>818</v>
      </c>
      <c r="G218" s="81" t="s">
        <v>537</v>
      </c>
      <c r="H218" s="127" t="str">
        <f t="shared" si="41"/>
        <v>ATENDIDO</v>
      </c>
      <c r="I218" s="24" t="s">
        <v>21</v>
      </c>
      <c r="J218" s="24" t="s">
        <v>16</v>
      </c>
      <c r="K218" s="24" t="s">
        <v>124</v>
      </c>
      <c r="L218" s="24" t="s">
        <v>77</v>
      </c>
      <c r="M218" s="94" t="s">
        <v>86</v>
      </c>
      <c r="N218" s="24" t="s">
        <v>185</v>
      </c>
      <c r="O218" s="25" t="s">
        <v>208</v>
      </c>
      <c r="P218" s="112" t="s">
        <v>463</v>
      </c>
      <c r="Q218" s="94" t="s">
        <v>229</v>
      </c>
      <c r="R218" s="95">
        <f>Tabla1[[#This Row],[Origin Date ]]+3</f>
        <v>45820</v>
      </c>
      <c r="S218" s="2">
        <v>45820</v>
      </c>
      <c r="T218" s="96">
        <f t="shared" si="47"/>
        <v>0</v>
      </c>
      <c r="U218" s="148" t="str">
        <f>IF((R218=""),"",IF((V218="Cerrada"),"Realizada a Tiempo",IF(OR((($AB$2-R218)=0),(($AB$2-R218)=-1),(($AB$2-R218)=-2),(($AB$2-R218)=-3)),"Tiempo Límite",IF((T218="&gt;9"),"En Proceso","Atrasada"))))</f>
        <v>Realizada a Tiempo</v>
      </c>
      <c r="V218" s="24" t="str">
        <f>IF((R218=""),"",IF((S218=""),"Abierta","Cerrada"))</f>
        <v>Cerrada</v>
      </c>
      <c r="W218" s="51">
        <v>0.8</v>
      </c>
      <c r="X218" s="54" t="s">
        <v>882</v>
      </c>
      <c r="Y218" s="28" t="s">
        <v>58</v>
      </c>
      <c r="Z218" s="97">
        <v>60</v>
      </c>
      <c r="AA218" s="97"/>
      <c r="AB218" s="52">
        <f>Tabla1[[#This Row],[Fecha de Entrega
End Date]]+$Z218</f>
        <v>45880</v>
      </c>
      <c r="AC218" s="84" t="s">
        <v>836</v>
      </c>
      <c r="AD218" s="53" t="s">
        <v>386</v>
      </c>
      <c r="AE218" s="99"/>
    </row>
    <row r="219" spans="1:31" ht="36.75" customHeight="1" x14ac:dyDescent="0.3">
      <c r="A219" s="2">
        <v>45815</v>
      </c>
      <c r="B219" s="111">
        <f t="shared" ref="B219:B231" si="48">IF(A219&lt;&gt;"",1+B218,"")</f>
        <v>215</v>
      </c>
      <c r="C219" s="22"/>
      <c r="D219" s="22"/>
      <c r="E219" s="21" t="s">
        <v>857</v>
      </c>
      <c r="F219" s="21" t="s">
        <v>821</v>
      </c>
      <c r="G219" s="81" t="s">
        <v>537</v>
      </c>
      <c r="H219" s="127" t="str">
        <f t="shared" ref="H219:H231" si="49">IF((A219=""),"",IF((V219="Cerrada"),"ATENDIDO",IF(OR((($AA$2-A219)=0),(($AA$2-A219)=-1),(($AA$2-A219)=-2),(($AA$2-A219)=-3)),"BAJO",IF((T219="-3"),"MEDIO","ALTA"))))</f>
        <v>ATENDIDO</v>
      </c>
      <c r="I219" s="24" t="s">
        <v>21</v>
      </c>
      <c r="J219" s="24" t="s">
        <v>16</v>
      </c>
      <c r="K219" s="24" t="s">
        <v>102</v>
      </c>
      <c r="L219" s="24" t="s">
        <v>80</v>
      </c>
      <c r="M219" s="94" t="s">
        <v>86</v>
      </c>
      <c r="N219" s="24" t="s">
        <v>211</v>
      </c>
      <c r="O219" s="25" t="s">
        <v>208</v>
      </c>
      <c r="P219" s="112" t="s">
        <v>181</v>
      </c>
      <c r="Q219" s="24" t="s">
        <v>229</v>
      </c>
      <c r="R219" s="82">
        <f>Tabla1[[#This Row],[Origin Date ]]+3</f>
        <v>45818</v>
      </c>
      <c r="S219" s="2">
        <v>45818</v>
      </c>
      <c r="T219" s="96">
        <f t="shared" si="47"/>
        <v>0</v>
      </c>
      <c r="U219" s="35" t="str">
        <f t="shared" ref="U219:U231" si="50">IF((R219=""),"",IF((V219="Cerrada"),"Realizada a Tiempo",IF(OR((($AB$2-R219)=0),(($AB$2-R219)=-1),(($AB$2-R219)=-2),(($AB$2-R219)=-3)),"Tiempo Límite",IF((T219="&gt;9"),"En Proceso","Atrasada"))))</f>
        <v>Realizada a Tiempo</v>
      </c>
      <c r="V219" s="24" t="str">
        <f t="shared" ref="V219:V282" si="51">IF((R219=""),"",IF((S219=""),"Abierta","Cerrada"))</f>
        <v>Cerrada</v>
      </c>
      <c r="W219" s="51">
        <v>1</v>
      </c>
      <c r="X219" s="54" t="s">
        <v>812</v>
      </c>
      <c r="Y219" s="28" t="s">
        <v>58</v>
      </c>
      <c r="Z219" s="36">
        <v>30</v>
      </c>
      <c r="AA219" s="36" t="s">
        <v>51</v>
      </c>
      <c r="AB219" s="52">
        <f>Tabla1[[#This Row],[Fecha de Entrega
End Date]]+$Z219</f>
        <v>45848</v>
      </c>
      <c r="AC219" s="84" t="s">
        <v>813</v>
      </c>
      <c r="AD219" s="53" t="s">
        <v>386</v>
      </c>
      <c r="AE219" s="37"/>
    </row>
    <row r="220" spans="1:31" ht="32.25" customHeight="1" x14ac:dyDescent="0.3">
      <c r="A220" s="2">
        <v>45817</v>
      </c>
      <c r="B220" s="111">
        <f t="shared" si="48"/>
        <v>216</v>
      </c>
      <c r="C220" s="22"/>
      <c r="D220" s="22"/>
      <c r="E220" s="21" t="s">
        <v>858</v>
      </c>
      <c r="F220" s="21" t="s">
        <v>820</v>
      </c>
      <c r="G220" s="81" t="s">
        <v>537</v>
      </c>
      <c r="H220" s="127" t="str">
        <f t="shared" si="49"/>
        <v>ATENDIDO</v>
      </c>
      <c r="I220" s="24" t="s">
        <v>21</v>
      </c>
      <c r="J220" s="24" t="s">
        <v>10</v>
      </c>
      <c r="K220" s="24" t="s">
        <v>102</v>
      </c>
      <c r="L220" s="24" t="s">
        <v>87</v>
      </c>
      <c r="M220" s="94" t="s">
        <v>86</v>
      </c>
      <c r="N220" s="24" t="s">
        <v>211</v>
      </c>
      <c r="O220" s="25" t="s">
        <v>208</v>
      </c>
      <c r="P220" s="112" t="s">
        <v>181</v>
      </c>
      <c r="Q220" s="24" t="s">
        <v>93</v>
      </c>
      <c r="R220" s="82">
        <f>Tabla1[[#This Row],[Origin Date ]]+3</f>
        <v>45820</v>
      </c>
      <c r="S220" s="2">
        <v>45819</v>
      </c>
      <c r="T220" s="96">
        <f t="shared" si="47"/>
        <v>-1</v>
      </c>
      <c r="U220" s="35" t="str">
        <f t="shared" si="50"/>
        <v>Realizada a Tiempo</v>
      </c>
      <c r="V220" s="24" t="str">
        <f t="shared" si="51"/>
        <v>Cerrada</v>
      </c>
      <c r="W220" s="51">
        <v>0.8</v>
      </c>
      <c r="X220" s="54" t="s">
        <v>832</v>
      </c>
      <c r="Y220" s="28" t="s">
        <v>58</v>
      </c>
      <c r="Z220" s="36">
        <v>30</v>
      </c>
      <c r="AA220" s="36" t="s">
        <v>51</v>
      </c>
      <c r="AB220" s="52">
        <f>Tabla1[[#This Row],[Fecha de Entrega
End Date]]+$Z220</f>
        <v>45849</v>
      </c>
      <c r="AC220" s="84" t="s">
        <v>885</v>
      </c>
      <c r="AD220" s="53" t="s">
        <v>386</v>
      </c>
      <c r="AE220" s="37"/>
    </row>
    <row r="221" spans="1:31" ht="47.25" customHeight="1" x14ac:dyDescent="0.3">
      <c r="A221" s="2">
        <v>45818</v>
      </c>
      <c r="B221" s="111">
        <f t="shared" si="48"/>
        <v>217</v>
      </c>
      <c r="C221" s="22"/>
      <c r="D221" s="22"/>
      <c r="E221" s="21" t="s">
        <v>888</v>
      </c>
      <c r="F221" s="21" t="s">
        <v>827</v>
      </c>
      <c r="G221" s="81" t="s">
        <v>760</v>
      </c>
      <c r="H221" s="127" t="str">
        <f t="shared" si="49"/>
        <v>ATENDIDO</v>
      </c>
      <c r="I221" s="24" t="s">
        <v>22</v>
      </c>
      <c r="J221" s="24" t="s">
        <v>10</v>
      </c>
      <c r="K221" s="24" t="s">
        <v>124</v>
      </c>
      <c r="L221" s="24" t="s">
        <v>87</v>
      </c>
      <c r="M221" s="94" t="s">
        <v>86</v>
      </c>
      <c r="N221" s="24" t="s">
        <v>185</v>
      </c>
      <c r="O221" s="25" t="s">
        <v>208</v>
      </c>
      <c r="P221" s="112" t="s">
        <v>463</v>
      </c>
      <c r="Q221" s="24" t="s">
        <v>320</v>
      </c>
      <c r="R221" s="82">
        <f>Tabla1[[#This Row],[Origin Date ]]+3</f>
        <v>45821</v>
      </c>
      <c r="S221" s="2">
        <v>45818</v>
      </c>
      <c r="T221" s="96">
        <f t="shared" si="47"/>
        <v>-3</v>
      </c>
      <c r="U221" s="35" t="str">
        <f t="shared" si="50"/>
        <v>Realizada a Tiempo</v>
      </c>
      <c r="V221" s="24" t="str">
        <f t="shared" si="51"/>
        <v>Cerrada</v>
      </c>
      <c r="W221" s="51">
        <v>1</v>
      </c>
      <c r="X221" s="54" t="s">
        <v>886</v>
      </c>
      <c r="Y221" s="28" t="s">
        <v>58</v>
      </c>
      <c r="Z221" s="36">
        <v>30</v>
      </c>
      <c r="AA221" s="36" t="s">
        <v>51</v>
      </c>
      <c r="AB221" s="52">
        <f>Tabla1[[#This Row],[Fecha de Entrega
End Date]]+$Z221</f>
        <v>45848</v>
      </c>
      <c r="AC221" s="84" t="s">
        <v>887</v>
      </c>
      <c r="AD221" s="53" t="s">
        <v>386</v>
      </c>
      <c r="AE221" s="37"/>
    </row>
    <row r="222" spans="1:31" ht="37.5" customHeight="1" x14ac:dyDescent="0.3">
      <c r="A222" s="2">
        <v>45818</v>
      </c>
      <c r="B222" s="111">
        <f t="shared" si="48"/>
        <v>218</v>
      </c>
      <c r="C222" s="22"/>
      <c r="D222" s="22"/>
      <c r="E222" s="21" t="s">
        <v>889</v>
      </c>
      <c r="F222" s="21" t="s">
        <v>822</v>
      </c>
      <c r="G222" s="81" t="s">
        <v>537</v>
      </c>
      <c r="H222" s="127" t="str">
        <f t="shared" si="49"/>
        <v>ATENDIDO</v>
      </c>
      <c r="I222" s="24" t="s">
        <v>21</v>
      </c>
      <c r="J222" s="24" t="s">
        <v>16</v>
      </c>
      <c r="K222" s="24" t="s">
        <v>124</v>
      </c>
      <c r="L222" s="24" t="s">
        <v>87</v>
      </c>
      <c r="M222" s="94" t="s">
        <v>86</v>
      </c>
      <c r="N222" s="24" t="s">
        <v>185</v>
      </c>
      <c r="O222" s="25" t="s">
        <v>208</v>
      </c>
      <c r="P222" s="112" t="s">
        <v>463</v>
      </c>
      <c r="Q222" s="24" t="s">
        <v>229</v>
      </c>
      <c r="R222" s="82">
        <f>Tabla1[[#This Row],[Origin Date ]]+3</f>
        <v>45821</v>
      </c>
      <c r="S222" s="2">
        <v>45818</v>
      </c>
      <c r="T222" s="96">
        <f t="shared" si="47"/>
        <v>-3</v>
      </c>
      <c r="U222" s="35" t="str">
        <f t="shared" si="50"/>
        <v>Realizada a Tiempo</v>
      </c>
      <c r="V222" s="24" t="str">
        <f t="shared" si="51"/>
        <v>Cerrada</v>
      </c>
      <c r="W222" s="51">
        <v>1</v>
      </c>
      <c r="X222" s="54" t="s">
        <v>824</v>
      </c>
      <c r="Y222" s="28" t="s">
        <v>58</v>
      </c>
      <c r="Z222" s="36">
        <v>7</v>
      </c>
      <c r="AA222" s="36" t="s">
        <v>51</v>
      </c>
      <c r="AB222" s="52">
        <f>Tabla1[[#This Row],[Fecha de Entrega
End Date]]+$Z222</f>
        <v>45825</v>
      </c>
      <c r="AC222" s="84" t="s">
        <v>813</v>
      </c>
      <c r="AD222" s="53" t="s">
        <v>386</v>
      </c>
      <c r="AE222" s="37"/>
    </row>
    <row r="223" spans="1:31" ht="36" customHeight="1" x14ac:dyDescent="0.3">
      <c r="A223" s="2">
        <v>45818</v>
      </c>
      <c r="B223" s="111">
        <f t="shared" si="48"/>
        <v>219</v>
      </c>
      <c r="C223" s="22"/>
      <c r="D223" s="22"/>
      <c r="E223" s="21" t="s">
        <v>888</v>
      </c>
      <c r="F223" s="21" t="s">
        <v>823</v>
      </c>
      <c r="G223" s="81" t="s">
        <v>760</v>
      </c>
      <c r="H223" s="127" t="str">
        <f t="shared" si="49"/>
        <v>ATENDIDO</v>
      </c>
      <c r="I223" s="24" t="s">
        <v>22</v>
      </c>
      <c r="J223" s="24" t="s">
        <v>10</v>
      </c>
      <c r="K223" s="24" t="s">
        <v>102</v>
      </c>
      <c r="L223" s="24" t="s">
        <v>87</v>
      </c>
      <c r="M223" s="94" t="s">
        <v>86</v>
      </c>
      <c r="N223" s="24" t="s">
        <v>211</v>
      </c>
      <c r="O223" s="25" t="s">
        <v>208</v>
      </c>
      <c r="P223" s="112" t="s">
        <v>181</v>
      </c>
      <c r="Q223" s="24" t="s">
        <v>320</v>
      </c>
      <c r="R223" s="82">
        <f>Tabla1[[#This Row],[Origin Date ]]+3</f>
        <v>45821</v>
      </c>
      <c r="S223" s="2">
        <v>45820</v>
      </c>
      <c r="T223" s="96">
        <f t="shared" si="47"/>
        <v>-1</v>
      </c>
      <c r="U223" s="35" t="str">
        <f t="shared" si="50"/>
        <v>Realizada a Tiempo</v>
      </c>
      <c r="V223" s="24" t="str">
        <f t="shared" si="51"/>
        <v>Cerrada</v>
      </c>
      <c r="W223" s="51">
        <v>0.5</v>
      </c>
      <c r="X223" s="54" t="s">
        <v>834</v>
      </c>
      <c r="Y223" s="28" t="s">
        <v>58</v>
      </c>
      <c r="Z223" s="36">
        <v>30</v>
      </c>
      <c r="AA223" s="36" t="s">
        <v>51</v>
      </c>
      <c r="AB223" s="52">
        <f>Tabla1[[#This Row],[Fecha de Entrega
End Date]]+$Z223</f>
        <v>45850</v>
      </c>
      <c r="AC223" s="84" t="s">
        <v>898</v>
      </c>
      <c r="AD223" s="53" t="s">
        <v>386</v>
      </c>
      <c r="AE223" s="104" t="s">
        <v>899</v>
      </c>
    </row>
    <row r="224" spans="1:31" ht="36.75" customHeight="1" x14ac:dyDescent="0.3">
      <c r="A224" s="2">
        <v>45819</v>
      </c>
      <c r="B224" s="111">
        <f t="shared" si="48"/>
        <v>220</v>
      </c>
      <c r="C224" s="22"/>
      <c r="D224" s="22"/>
      <c r="E224" s="21" t="s">
        <v>888</v>
      </c>
      <c r="F224" s="21" t="s">
        <v>828</v>
      </c>
      <c r="G224" s="81" t="s">
        <v>760</v>
      </c>
      <c r="H224" s="127" t="str">
        <f t="shared" si="49"/>
        <v>ATENDIDO</v>
      </c>
      <c r="I224" s="24" t="s">
        <v>22</v>
      </c>
      <c r="J224" s="24" t="s">
        <v>10</v>
      </c>
      <c r="K224" s="24" t="s">
        <v>102</v>
      </c>
      <c r="L224" s="24" t="s">
        <v>87</v>
      </c>
      <c r="M224" s="94" t="s">
        <v>86</v>
      </c>
      <c r="N224" s="24" t="s">
        <v>211</v>
      </c>
      <c r="O224" s="25" t="s">
        <v>208</v>
      </c>
      <c r="P224" s="112" t="s">
        <v>181</v>
      </c>
      <c r="Q224" s="24" t="s">
        <v>320</v>
      </c>
      <c r="R224" s="82">
        <f>Tabla1[[#This Row],[Origin Date ]]+3</f>
        <v>45822</v>
      </c>
      <c r="S224" s="2">
        <v>45819</v>
      </c>
      <c r="T224" s="96">
        <f t="shared" si="47"/>
        <v>-3</v>
      </c>
      <c r="U224" s="35" t="str">
        <f t="shared" si="50"/>
        <v>Realizada a Tiempo</v>
      </c>
      <c r="V224" s="24" t="str">
        <f t="shared" si="51"/>
        <v>Cerrada</v>
      </c>
      <c r="W224" s="51">
        <v>1</v>
      </c>
      <c r="X224" s="54" t="s">
        <v>825</v>
      </c>
      <c r="Y224" s="102" t="s">
        <v>452</v>
      </c>
      <c r="Z224" s="36">
        <v>30</v>
      </c>
      <c r="AA224" s="36" t="s">
        <v>51</v>
      </c>
      <c r="AB224" s="52">
        <f>Tabla1[[#This Row],[Fecha de Entrega
End Date]]+$Z224</f>
        <v>45849</v>
      </c>
      <c r="AC224" s="84" t="s">
        <v>887</v>
      </c>
      <c r="AD224" s="53" t="s">
        <v>386</v>
      </c>
      <c r="AE224" s="37"/>
    </row>
    <row r="225" spans="1:31" ht="38.25" customHeight="1" x14ac:dyDescent="0.3">
      <c r="A225" s="2">
        <v>45819</v>
      </c>
      <c r="B225" s="111">
        <f t="shared" si="48"/>
        <v>221</v>
      </c>
      <c r="C225" s="22"/>
      <c r="D225" s="22"/>
      <c r="E225" s="21" t="s">
        <v>890</v>
      </c>
      <c r="F225" s="21" t="s">
        <v>830</v>
      </c>
      <c r="G225" s="81" t="s">
        <v>537</v>
      </c>
      <c r="H225" s="127" t="str">
        <f t="shared" si="49"/>
        <v>ATENDIDO</v>
      </c>
      <c r="I225" s="24" t="s">
        <v>21</v>
      </c>
      <c r="J225" s="24" t="s">
        <v>16</v>
      </c>
      <c r="K225" s="24" t="s">
        <v>124</v>
      </c>
      <c r="L225" s="24" t="s">
        <v>77</v>
      </c>
      <c r="M225" s="94" t="s">
        <v>86</v>
      </c>
      <c r="N225" s="24" t="s">
        <v>185</v>
      </c>
      <c r="O225" s="25" t="s">
        <v>208</v>
      </c>
      <c r="P225" s="112" t="s">
        <v>463</v>
      </c>
      <c r="Q225" s="24" t="s">
        <v>229</v>
      </c>
      <c r="R225" s="82">
        <f>Tabla1[[#This Row],[Origin Date ]]+3</f>
        <v>45822</v>
      </c>
      <c r="S225" s="2">
        <v>45819</v>
      </c>
      <c r="T225" s="96">
        <f t="shared" si="47"/>
        <v>-3</v>
      </c>
      <c r="U225" s="35" t="str">
        <f t="shared" si="50"/>
        <v>Realizada a Tiempo</v>
      </c>
      <c r="V225" s="24" t="str">
        <f t="shared" si="51"/>
        <v>Cerrada</v>
      </c>
      <c r="W225" s="51">
        <v>1</v>
      </c>
      <c r="X225" s="54" t="s">
        <v>897</v>
      </c>
      <c r="Y225" s="102" t="s">
        <v>452</v>
      </c>
      <c r="Z225" s="36">
        <v>30</v>
      </c>
      <c r="AA225" s="36" t="s">
        <v>51</v>
      </c>
      <c r="AB225" s="52">
        <f>Tabla1[[#This Row],[Fecha de Entrega
End Date]]+$Z225</f>
        <v>45849</v>
      </c>
      <c r="AC225" s="84" t="s">
        <v>903</v>
      </c>
      <c r="AD225" s="53" t="s">
        <v>386</v>
      </c>
      <c r="AE225" s="37"/>
    </row>
    <row r="226" spans="1:31" ht="27" customHeight="1" x14ac:dyDescent="0.3">
      <c r="A226" s="2">
        <v>45819</v>
      </c>
      <c r="B226" s="111">
        <f t="shared" si="48"/>
        <v>222</v>
      </c>
      <c r="C226" s="22"/>
      <c r="D226" s="22"/>
      <c r="E226" s="21" t="s">
        <v>891</v>
      </c>
      <c r="F226" s="21" t="s">
        <v>829</v>
      </c>
      <c r="G226" s="81" t="s">
        <v>537</v>
      </c>
      <c r="H226" s="127" t="str">
        <f t="shared" si="49"/>
        <v>ATENDIDO</v>
      </c>
      <c r="I226" s="24" t="s">
        <v>97</v>
      </c>
      <c r="J226" s="24" t="s">
        <v>16</v>
      </c>
      <c r="K226" s="24" t="s">
        <v>124</v>
      </c>
      <c r="L226" s="24" t="s">
        <v>87</v>
      </c>
      <c r="M226" s="24" t="s">
        <v>94</v>
      </c>
      <c r="N226" s="24" t="s">
        <v>185</v>
      </c>
      <c r="O226" s="25" t="s">
        <v>208</v>
      </c>
      <c r="P226" s="112" t="s">
        <v>463</v>
      </c>
      <c r="Q226" s="24" t="s">
        <v>229</v>
      </c>
      <c r="R226" s="82">
        <f>Tabla1[[#This Row],[Origin Date ]]+3</f>
        <v>45822</v>
      </c>
      <c r="S226" s="2">
        <v>45820</v>
      </c>
      <c r="T226" s="96">
        <f t="shared" si="47"/>
        <v>-2</v>
      </c>
      <c r="U226" s="35" t="str">
        <f t="shared" si="50"/>
        <v>Realizada a Tiempo</v>
      </c>
      <c r="V226" s="24" t="str">
        <f t="shared" si="51"/>
        <v>Cerrada</v>
      </c>
      <c r="W226" s="51">
        <v>1</v>
      </c>
      <c r="X226" s="54" t="s">
        <v>837</v>
      </c>
      <c r="Y226" s="28" t="s">
        <v>58</v>
      </c>
      <c r="Z226" s="36">
        <v>7</v>
      </c>
      <c r="AA226" s="36" t="s">
        <v>52</v>
      </c>
      <c r="AB226" s="52">
        <f>Tabla1[[#This Row],[Fecha de Entrega
End Date]]+$Z226</f>
        <v>45827</v>
      </c>
      <c r="AC226" s="84" t="s">
        <v>836</v>
      </c>
      <c r="AD226" s="53" t="s">
        <v>386</v>
      </c>
      <c r="AE226" s="37"/>
    </row>
    <row r="227" spans="1:31" ht="40.5" customHeight="1" x14ac:dyDescent="0.3">
      <c r="A227" s="2">
        <v>45819</v>
      </c>
      <c r="B227" s="111">
        <f t="shared" si="48"/>
        <v>223</v>
      </c>
      <c r="C227" s="22"/>
      <c r="D227" s="22"/>
      <c r="E227" s="21" t="s">
        <v>890</v>
      </c>
      <c r="F227" s="21" t="s">
        <v>914</v>
      </c>
      <c r="G227" s="81" t="s">
        <v>537</v>
      </c>
      <c r="H227" s="127" t="str">
        <f>IF((A227=""),"",IF((V227="Cerrada"),"ATENDIDO",IF(OR((($AA$2-A227)=0),(($AA$2-A227)=-1),(($AA$2-A227)=-2),(($AA$2-A227)=-3)),"BAJO",IF((T227="-3"),"MEDIO","ALTA"))))</f>
        <v>ALTA</v>
      </c>
      <c r="I227" s="24" t="s">
        <v>21</v>
      </c>
      <c r="J227" s="24" t="s">
        <v>16</v>
      </c>
      <c r="K227" s="24" t="s">
        <v>124</v>
      </c>
      <c r="L227" s="24" t="s">
        <v>77</v>
      </c>
      <c r="M227" s="24" t="s">
        <v>86</v>
      </c>
      <c r="N227" s="24" t="s">
        <v>185</v>
      </c>
      <c r="O227" s="25" t="s">
        <v>208</v>
      </c>
      <c r="P227" s="112" t="s">
        <v>463</v>
      </c>
      <c r="Q227" s="24" t="s">
        <v>93</v>
      </c>
      <c r="R227" s="82">
        <f>Tabla1[[#This Row],[Origin Date ]]+3</f>
        <v>45822</v>
      </c>
      <c r="S227" s="2"/>
      <c r="T227" s="96" t="str">
        <f t="shared" si="47"/>
        <v>-</v>
      </c>
      <c r="U227" s="35" t="str">
        <f t="shared" ca="1" si="50"/>
        <v>Atrasada</v>
      </c>
      <c r="V227" s="24" t="str">
        <f t="shared" si="51"/>
        <v>Abierta</v>
      </c>
      <c r="W227" s="51">
        <v>0.2</v>
      </c>
      <c r="X227" s="54"/>
      <c r="Y227" s="28" t="s">
        <v>58</v>
      </c>
      <c r="Z227" s="36"/>
      <c r="AA227" s="36" t="s">
        <v>52</v>
      </c>
      <c r="AB227" s="52">
        <f>Tabla1[[#This Row],[Fecha de Entrega
End Date]]+$Z227</f>
        <v>0</v>
      </c>
      <c r="AC227" s="44"/>
      <c r="AD227" s="53" t="s">
        <v>243</v>
      </c>
      <c r="AE227" s="37" t="s">
        <v>835</v>
      </c>
    </row>
    <row r="228" spans="1:31" ht="39" customHeight="1" x14ac:dyDescent="0.3">
      <c r="A228" s="2">
        <v>45819</v>
      </c>
      <c r="B228" s="111">
        <f t="shared" si="48"/>
        <v>224</v>
      </c>
      <c r="C228" s="22"/>
      <c r="D228" s="22"/>
      <c r="E228" s="21" t="s">
        <v>892</v>
      </c>
      <c r="F228" s="21" t="s">
        <v>831</v>
      </c>
      <c r="G228" s="81" t="s">
        <v>760</v>
      </c>
      <c r="H228" s="127" t="str">
        <f t="shared" si="49"/>
        <v>ATENDIDO</v>
      </c>
      <c r="I228" s="24" t="s">
        <v>22</v>
      </c>
      <c r="J228" s="24" t="s">
        <v>10</v>
      </c>
      <c r="K228" s="24" t="s">
        <v>102</v>
      </c>
      <c r="L228" s="24" t="s">
        <v>77</v>
      </c>
      <c r="M228" s="24" t="s">
        <v>86</v>
      </c>
      <c r="N228" s="24" t="s">
        <v>211</v>
      </c>
      <c r="O228" s="25" t="s">
        <v>208</v>
      </c>
      <c r="P228" s="112" t="s">
        <v>181</v>
      </c>
      <c r="Q228" s="24" t="s">
        <v>320</v>
      </c>
      <c r="R228" s="82">
        <f>Tabla1[[#This Row],[Origin Date ]]+3</f>
        <v>45822</v>
      </c>
      <c r="S228" s="2">
        <v>45821</v>
      </c>
      <c r="T228" s="96">
        <f t="shared" si="47"/>
        <v>-1</v>
      </c>
      <c r="U228" s="35" t="str">
        <f t="shared" si="50"/>
        <v>Realizada a Tiempo</v>
      </c>
      <c r="V228" s="24" t="str">
        <f t="shared" si="51"/>
        <v>Cerrada</v>
      </c>
      <c r="W228" s="51">
        <v>1</v>
      </c>
      <c r="X228" s="54" t="s">
        <v>872</v>
      </c>
      <c r="Y228" s="28" t="s">
        <v>58</v>
      </c>
      <c r="Z228" s="36">
        <v>30</v>
      </c>
      <c r="AA228" s="36" t="s">
        <v>51</v>
      </c>
      <c r="AB228" s="52">
        <f>Tabla1[[#This Row],[Fecha de Entrega
End Date]]+$Z228</f>
        <v>45851</v>
      </c>
      <c r="AC228" s="84" t="s">
        <v>904</v>
      </c>
      <c r="AD228" s="53" t="s">
        <v>386</v>
      </c>
      <c r="AE228" s="37"/>
    </row>
    <row r="229" spans="1:31" ht="33" customHeight="1" x14ac:dyDescent="0.3">
      <c r="A229" s="2">
        <v>45821</v>
      </c>
      <c r="B229" s="111">
        <f t="shared" si="48"/>
        <v>225</v>
      </c>
      <c r="C229" s="22"/>
      <c r="D229" s="22"/>
      <c r="E229" s="21" t="s">
        <v>888</v>
      </c>
      <c r="F229" s="21" t="s">
        <v>866</v>
      </c>
      <c r="G229" s="81" t="s">
        <v>760</v>
      </c>
      <c r="H229" s="127" t="str">
        <f t="shared" si="49"/>
        <v>ATENDIDO</v>
      </c>
      <c r="I229" s="24" t="s">
        <v>22</v>
      </c>
      <c r="J229" s="24" t="s">
        <v>10</v>
      </c>
      <c r="K229" s="24" t="s">
        <v>102</v>
      </c>
      <c r="L229" s="24" t="s">
        <v>87</v>
      </c>
      <c r="M229" s="24" t="s">
        <v>94</v>
      </c>
      <c r="N229" s="24" t="s">
        <v>211</v>
      </c>
      <c r="O229" s="25" t="s">
        <v>208</v>
      </c>
      <c r="P229" s="112" t="s">
        <v>181</v>
      </c>
      <c r="Q229" s="24" t="s">
        <v>320</v>
      </c>
      <c r="R229" s="82">
        <f>Tabla1[[#This Row],[Origin Date ]]+3</f>
        <v>45824</v>
      </c>
      <c r="S229" s="2">
        <v>45821</v>
      </c>
      <c r="T229" s="96">
        <f t="shared" si="47"/>
        <v>-3</v>
      </c>
      <c r="U229" s="35" t="str">
        <f t="shared" si="50"/>
        <v>Realizada a Tiempo</v>
      </c>
      <c r="V229" s="24" t="str">
        <f t="shared" si="51"/>
        <v>Cerrada</v>
      </c>
      <c r="W229" s="51">
        <v>1</v>
      </c>
      <c r="X229" s="54" t="s">
        <v>825</v>
      </c>
      <c r="Y229" s="28" t="s">
        <v>58</v>
      </c>
      <c r="Z229" s="36"/>
      <c r="AA229" s="36" t="s">
        <v>51</v>
      </c>
      <c r="AB229" s="52">
        <f>Tabla1[[#This Row],[Fecha de Entrega
End Date]]+$Z229</f>
        <v>45821</v>
      </c>
      <c r="AC229" s="84" t="s">
        <v>887</v>
      </c>
      <c r="AD229" s="53" t="s">
        <v>386</v>
      </c>
      <c r="AE229" s="37"/>
    </row>
    <row r="230" spans="1:31" ht="33" customHeight="1" x14ac:dyDescent="0.3">
      <c r="A230" s="2">
        <v>45821</v>
      </c>
      <c r="B230" s="111">
        <f t="shared" si="48"/>
        <v>226</v>
      </c>
      <c r="C230" s="22"/>
      <c r="D230" s="22"/>
      <c r="E230" s="21" t="s">
        <v>892</v>
      </c>
      <c r="F230" s="21" t="s">
        <v>869</v>
      </c>
      <c r="G230" s="81" t="s">
        <v>760</v>
      </c>
      <c r="H230" s="127" t="str">
        <f t="shared" si="49"/>
        <v>ATENDIDO</v>
      </c>
      <c r="I230" s="24" t="s">
        <v>22</v>
      </c>
      <c r="J230" s="24" t="s">
        <v>10</v>
      </c>
      <c r="K230" s="24" t="s">
        <v>102</v>
      </c>
      <c r="L230" s="24" t="s">
        <v>87</v>
      </c>
      <c r="M230" s="24" t="s">
        <v>94</v>
      </c>
      <c r="N230" s="24" t="s">
        <v>211</v>
      </c>
      <c r="O230" s="25" t="s">
        <v>208</v>
      </c>
      <c r="P230" s="112" t="s">
        <v>181</v>
      </c>
      <c r="Q230" s="24" t="s">
        <v>320</v>
      </c>
      <c r="R230" s="82">
        <f>Tabla1[[#This Row],[Origin Date ]]+3</f>
        <v>45824</v>
      </c>
      <c r="S230" s="2">
        <v>45824</v>
      </c>
      <c r="T230" s="96">
        <f t="shared" si="47"/>
        <v>0</v>
      </c>
      <c r="U230" s="35" t="str">
        <f t="shared" si="50"/>
        <v>Realizada a Tiempo</v>
      </c>
      <c r="V230" s="24" t="str">
        <f t="shared" si="51"/>
        <v>Cerrada</v>
      </c>
      <c r="W230" s="51">
        <v>1</v>
      </c>
      <c r="X230" s="54" t="s">
        <v>871</v>
      </c>
      <c r="Y230" s="28" t="s">
        <v>58</v>
      </c>
      <c r="Z230" s="36"/>
      <c r="AA230" s="36" t="s">
        <v>51</v>
      </c>
      <c r="AB230" s="52">
        <f>Tabla1[[#This Row],[Fecha de Entrega
End Date]]+$Z230</f>
        <v>45824</v>
      </c>
      <c r="AC230" s="84" t="s">
        <v>905</v>
      </c>
      <c r="AD230" s="53" t="s">
        <v>386</v>
      </c>
      <c r="AE230" s="37"/>
    </row>
    <row r="231" spans="1:31" ht="41.25" customHeight="1" x14ac:dyDescent="0.3">
      <c r="A231" s="2">
        <v>45821</v>
      </c>
      <c r="B231" s="111">
        <f t="shared" si="48"/>
        <v>227</v>
      </c>
      <c r="C231" s="22"/>
      <c r="D231" s="22"/>
      <c r="E231" s="21" t="s">
        <v>893</v>
      </c>
      <c r="F231" s="21" t="s">
        <v>867</v>
      </c>
      <c r="G231" s="81" t="s">
        <v>760</v>
      </c>
      <c r="H231" s="127" t="str">
        <f t="shared" si="49"/>
        <v>ATENDIDO</v>
      </c>
      <c r="I231" s="24" t="s">
        <v>22</v>
      </c>
      <c r="J231" s="24" t="s">
        <v>10</v>
      </c>
      <c r="K231" s="24" t="s">
        <v>102</v>
      </c>
      <c r="L231" s="24" t="s">
        <v>87</v>
      </c>
      <c r="M231" s="24" t="s">
        <v>94</v>
      </c>
      <c r="N231" s="24" t="s">
        <v>211</v>
      </c>
      <c r="O231" s="25" t="s">
        <v>208</v>
      </c>
      <c r="P231" s="112" t="s">
        <v>181</v>
      </c>
      <c r="Q231" s="24" t="s">
        <v>229</v>
      </c>
      <c r="R231" s="82">
        <f>Tabla1[[#This Row],[Origin Date ]]+3</f>
        <v>45824</v>
      </c>
      <c r="S231" s="2">
        <v>45824</v>
      </c>
      <c r="T231" s="96">
        <f t="shared" si="47"/>
        <v>0</v>
      </c>
      <c r="U231" s="35" t="str">
        <f t="shared" si="50"/>
        <v>Realizada a Tiempo</v>
      </c>
      <c r="V231" s="24" t="str">
        <f t="shared" si="51"/>
        <v>Cerrada</v>
      </c>
      <c r="W231" s="51">
        <v>1</v>
      </c>
      <c r="X231" s="54" t="s">
        <v>940</v>
      </c>
      <c r="Y231" s="28" t="s">
        <v>58</v>
      </c>
      <c r="Z231" s="36"/>
      <c r="AA231" s="36" t="s">
        <v>52</v>
      </c>
      <c r="AB231" s="52">
        <f>Tabla1[[#This Row],[Fecha de Entrega
End Date]]+$Z231</f>
        <v>45824</v>
      </c>
      <c r="AC231" s="44"/>
      <c r="AD231" s="53" t="s">
        <v>386</v>
      </c>
      <c r="AE231" s="37"/>
    </row>
    <row r="232" spans="1:31" ht="38.25" customHeight="1" x14ac:dyDescent="0.3">
      <c r="A232" s="2">
        <v>45821</v>
      </c>
      <c r="B232" s="111">
        <f t="shared" ref="B232:B258" si="52">IF(A232&lt;&gt;"",1+B231,"")</f>
        <v>228</v>
      </c>
      <c r="C232" s="22"/>
      <c r="D232" s="22"/>
      <c r="E232" s="21" t="s">
        <v>894</v>
      </c>
      <c r="F232" s="21" t="s">
        <v>908</v>
      </c>
      <c r="G232" s="81" t="s">
        <v>760</v>
      </c>
      <c r="H232" s="127" t="str">
        <f t="shared" ref="H232:H258" si="53">IF((A232=""),"",IF((V232="Cerrada"),"ATENDIDO",IF(OR((($AA$2-A232)=0),(($AA$2-A232)=-1),(($AA$2-A232)=-2),(($AA$2-A232)=-3)),"BAJO",IF((T232="-3"),"MEDIO","ALTA"))))</f>
        <v>ALTA</v>
      </c>
      <c r="I232" s="24" t="s">
        <v>22</v>
      </c>
      <c r="J232" s="24" t="s">
        <v>10</v>
      </c>
      <c r="K232" s="24" t="s">
        <v>102</v>
      </c>
      <c r="L232" s="24" t="s">
        <v>87</v>
      </c>
      <c r="M232" s="24" t="s">
        <v>94</v>
      </c>
      <c r="N232" s="24" t="s">
        <v>211</v>
      </c>
      <c r="O232" s="25" t="s">
        <v>208</v>
      </c>
      <c r="P232" s="112" t="s">
        <v>181</v>
      </c>
      <c r="Q232" s="24" t="s">
        <v>229</v>
      </c>
      <c r="R232" s="82">
        <f>Tabla1[[#This Row],[Origin Date ]]+3</f>
        <v>45824</v>
      </c>
      <c r="S232" s="2"/>
      <c r="T232" s="96" t="str">
        <f t="shared" si="47"/>
        <v>-</v>
      </c>
      <c r="U232" s="35" t="str">
        <f t="shared" ref="U232:U295" ca="1" si="54">IF((R232=""),"",IF((V232="Cerrada"),"Realizada a Tiempo",IF(OR((($AB$2-R232)=0),(($AB$2-R232)=-1),(($AB$2-R232)=-2),(($AB$2-R232)=-3)),"Tiempo Límite",IF((T232="&gt;9"),"En Proceso","Atrasada"))))</f>
        <v>Atrasada</v>
      </c>
      <c r="V232" s="24" t="str">
        <f t="shared" si="51"/>
        <v>Abierta</v>
      </c>
      <c r="W232" s="51">
        <v>0.7</v>
      </c>
      <c r="X232" s="54"/>
      <c r="Y232" s="28" t="s">
        <v>58</v>
      </c>
      <c r="Z232" s="36"/>
      <c r="AA232" s="36" t="s">
        <v>52</v>
      </c>
      <c r="AB232" s="52">
        <f>Tabla1[[#This Row],[Fecha de Entrega
End Date]]+$Z232</f>
        <v>0</v>
      </c>
      <c r="AC232" s="44"/>
      <c r="AD232" s="53" t="s">
        <v>814</v>
      </c>
      <c r="AE232" s="37" t="s">
        <v>936</v>
      </c>
    </row>
    <row r="233" spans="1:31" ht="28.5" customHeight="1" x14ac:dyDescent="0.3">
      <c r="A233" s="2">
        <v>45825</v>
      </c>
      <c r="B233" s="111">
        <f t="shared" si="52"/>
        <v>229</v>
      </c>
      <c r="C233" s="22"/>
      <c r="D233" s="22"/>
      <c r="E233" s="21" t="s">
        <v>888</v>
      </c>
      <c r="F233" s="21" t="s">
        <v>868</v>
      </c>
      <c r="G233" s="81" t="s">
        <v>760</v>
      </c>
      <c r="H233" s="127" t="str">
        <f t="shared" si="53"/>
        <v>ATENDIDO</v>
      </c>
      <c r="I233" s="24" t="s">
        <v>22</v>
      </c>
      <c r="J233" s="24" t="s">
        <v>10</v>
      </c>
      <c r="K233" s="24" t="s">
        <v>102</v>
      </c>
      <c r="L233" s="24" t="s">
        <v>87</v>
      </c>
      <c r="M233" s="24" t="s">
        <v>94</v>
      </c>
      <c r="N233" s="24" t="s">
        <v>211</v>
      </c>
      <c r="O233" s="25" t="s">
        <v>208</v>
      </c>
      <c r="P233" s="112" t="s">
        <v>181</v>
      </c>
      <c r="Q233" s="24" t="s">
        <v>320</v>
      </c>
      <c r="R233" s="82">
        <f>Tabla1[[#This Row],[Origin Date ]]+3</f>
        <v>45828</v>
      </c>
      <c r="S233" s="2">
        <v>45828</v>
      </c>
      <c r="T233" s="96">
        <f t="shared" si="47"/>
        <v>0</v>
      </c>
      <c r="U233" s="35" t="str">
        <f t="shared" si="54"/>
        <v>Realizada a Tiempo</v>
      </c>
      <c r="V233" s="24" t="str">
        <f t="shared" si="51"/>
        <v>Cerrada</v>
      </c>
      <c r="W233" s="51">
        <v>1</v>
      </c>
      <c r="X233" s="54" t="s">
        <v>825</v>
      </c>
      <c r="Y233" s="28" t="s">
        <v>58</v>
      </c>
      <c r="Z233" s="36">
        <v>30</v>
      </c>
      <c r="AA233" s="36" t="s">
        <v>51</v>
      </c>
      <c r="AB233" s="52">
        <f>Tabla1[[#This Row],[Fecha de Entrega
End Date]]+$Z233</f>
        <v>45858</v>
      </c>
      <c r="AC233" s="84" t="s">
        <v>887</v>
      </c>
      <c r="AD233" s="53" t="s">
        <v>386</v>
      </c>
      <c r="AE233" s="37" t="s">
        <v>873</v>
      </c>
    </row>
    <row r="234" spans="1:31" ht="36" customHeight="1" x14ac:dyDescent="0.3">
      <c r="A234" s="2">
        <v>45821</v>
      </c>
      <c r="B234" s="111">
        <f t="shared" si="52"/>
        <v>230</v>
      </c>
      <c r="C234" s="22"/>
      <c r="D234" s="22"/>
      <c r="E234" s="21" t="s">
        <v>892</v>
      </c>
      <c r="F234" s="21" t="s">
        <v>870</v>
      </c>
      <c r="G234" s="81" t="s">
        <v>760</v>
      </c>
      <c r="H234" s="127" t="str">
        <f t="shared" si="53"/>
        <v>ATENDIDO</v>
      </c>
      <c r="I234" s="24" t="s">
        <v>22</v>
      </c>
      <c r="J234" s="24" t="s">
        <v>10</v>
      </c>
      <c r="K234" s="24" t="s">
        <v>102</v>
      </c>
      <c r="L234" s="24" t="s">
        <v>87</v>
      </c>
      <c r="M234" s="24" t="s">
        <v>94</v>
      </c>
      <c r="N234" s="24" t="s">
        <v>211</v>
      </c>
      <c r="O234" s="25" t="s">
        <v>208</v>
      </c>
      <c r="P234" s="112" t="s">
        <v>181</v>
      </c>
      <c r="Q234" s="24" t="s">
        <v>93</v>
      </c>
      <c r="R234" s="82">
        <f>Tabla1[[#This Row],[Origin Date ]]+3</f>
        <v>45824</v>
      </c>
      <c r="S234" s="2">
        <v>45824</v>
      </c>
      <c r="T234" s="96">
        <f t="shared" si="47"/>
        <v>0</v>
      </c>
      <c r="U234" s="35" t="str">
        <f t="shared" si="54"/>
        <v>Realizada a Tiempo</v>
      </c>
      <c r="V234" s="24" t="str">
        <f t="shared" si="51"/>
        <v>Cerrada</v>
      </c>
      <c r="W234" s="51">
        <v>1</v>
      </c>
      <c r="X234" s="54" t="s">
        <v>874</v>
      </c>
      <c r="Y234" s="28" t="s">
        <v>58</v>
      </c>
      <c r="Z234" s="36"/>
      <c r="AA234" s="36" t="s">
        <v>51</v>
      </c>
      <c r="AB234" s="52">
        <f>Tabla1[[#This Row],[Fecha de Entrega
End Date]]+$Z234</f>
        <v>45824</v>
      </c>
      <c r="AC234" s="84" t="s">
        <v>906</v>
      </c>
      <c r="AD234" s="53" t="s">
        <v>386</v>
      </c>
      <c r="AE234" s="37"/>
    </row>
    <row r="235" spans="1:31" ht="33" customHeight="1" x14ac:dyDescent="0.3">
      <c r="A235" s="103">
        <v>45825</v>
      </c>
      <c r="B235" s="111">
        <f t="shared" si="52"/>
        <v>231</v>
      </c>
      <c r="C235" s="22"/>
      <c r="D235" s="22"/>
      <c r="E235" s="21" t="s">
        <v>895</v>
      </c>
      <c r="F235" s="21" t="s">
        <v>876</v>
      </c>
      <c r="G235" s="81" t="s">
        <v>760</v>
      </c>
      <c r="H235" s="127" t="str">
        <f t="shared" si="53"/>
        <v>ALTA</v>
      </c>
      <c r="I235" s="24" t="s">
        <v>22</v>
      </c>
      <c r="J235" s="24" t="s">
        <v>10</v>
      </c>
      <c r="K235" s="24" t="s">
        <v>118</v>
      </c>
      <c r="L235" s="24" t="s">
        <v>87</v>
      </c>
      <c r="M235" s="24" t="s">
        <v>94</v>
      </c>
      <c r="N235" s="24" t="s">
        <v>209</v>
      </c>
      <c r="O235" s="25" t="s">
        <v>208</v>
      </c>
      <c r="P235" s="112" t="s">
        <v>181</v>
      </c>
      <c r="Q235" s="24" t="s">
        <v>320</v>
      </c>
      <c r="R235" s="82">
        <f>Tabla1[[#This Row],[Origin Date ]]+3</f>
        <v>45828</v>
      </c>
      <c r="S235" s="2"/>
      <c r="T235" s="96" t="str">
        <f t="shared" si="47"/>
        <v>-</v>
      </c>
      <c r="U235" s="35" t="str">
        <f t="shared" ca="1" si="54"/>
        <v>Atrasada</v>
      </c>
      <c r="V235" s="24" t="str">
        <f t="shared" si="51"/>
        <v>Abierta</v>
      </c>
      <c r="W235" s="51">
        <v>0.2</v>
      </c>
      <c r="X235" s="54"/>
      <c r="Y235" s="28" t="s">
        <v>58</v>
      </c>
      <c r="Z235" s="36">
        <v>120</v>
      </c>
      <c r="AA235" s="36" t="s">
        <v>52</v>
      </c>
      <c r="AB235" s="52">
        <f>Tabla1[[#This Row],[Fecha de Entrega
End Date]]+$Z235</f>
        <v>120</v>
      </c>
      <c r="AC235" s="44"/>
      <c r="AD235" s="53" t="s">
        <v>585</v>
      </c>
      <c r="AE235" s="37"/>
    </row>
    <row r="236" spans="1:31" ht="30.75" customHeight="1" x14ac:dyDescent="0.3">
      <c r="A236" s="103">
        <v>45825</v>
      </c>
      <c r="B236" s="111">
        <f t="shared" si="52"/>
        <v>232</v>
      </c>
      <c r="C236" s="22"/>
      <c r="D236" s="22"/>
      <c r="E236" s="21" t="s">
        <v>896</v>
      </c>
      <c r="F236" s="21" t="s">
        <v>877</v>
      </c>
      <c r="G236" s="81" t="s">
        <v>537</v>
      </c>
      <c r="H236" s="127" t="str">
        <f t="shared" si="53"/>
        <v>ALTA</v>
      </c>
      <c r="I236" s="24" t="s">
        <v>21</v>
      </c>
      <c r="J236" s="24" t="s">
        <v>16</v>
      </c>
      <c r="K236" s="24" t="s">
        <v>124</v>
      </c>
      <c r="L236" s="24" t="s">
        <v>87</v>
      </c>
      <c r="M236" s="24" t="s">
        <v>94</v>
      </c>
      <c r="N236" s="24" t="s">
        <v>185</v>
      </c>
      <c r="O236" s="25" t="s">
        <v>208</v>
      </c>
      <c r="P236" s="112" t="s">
        <v>463</v>
      </c>
      <c r="Q236" s="24" t="s">
        <v>320</v>
      </c>
      <c r="R236" s="82">
        <f>Tabla1[[#This Row],[Origin Date ]]+3</f>
        <v>45828</v>
      </c>
      <c r="S236" s="2"/>
      <c r="T236" s="96" t="str">
        <f t="shared" si="47"/>
        <v>-</v>
      </c>
      <c r="U236" s="35" t="str">
        <f t="shared" ca="1" si="54"/>
        <v>Atrasada</v>
      </c>
      <c r="V236" s="24" t="str">
        <f t="shared" si="51"/>
        <v>Abierta</v>
      </c>
      <c r="W236" s="51">
        <v>0.2</v>
      </c>
      <c r="X236" s="54"/>
      <c r="Y236" s="28" t="s">
        <v>58</v>
      </c>
      <c r="Z236" s="36"/>
      <c r="AA236" s="36" t="s">
        <v>52</v>
      </c>
      <c r="AB236" s="52">
        <f>Tabla1[[#This Row],[Fecha de Entrega
End Date]]+$Z236</f>
        <v>0</v>
      </c>
      <c r="AC236" s="44"/>
      <c r="AD236" s="53" t="s">
        <v>585</v>
      </c>
      <c r="AE236" s="37"/>
    </row>
    <row r="237" spans="1:31" ht="37.5" customHeight="1" x14ac:dyDescent="0.3">
      <c r="A237" s="103">
        <v>45825</v>
      </c>
      <c r="B237" s="111">
        <f t="shared" si="52"/>
        <v>233</v>
      </c>
      <c r="C237" s="22"/>
      <c r="D237" s="22"/>
      <c r="E237" s="21" t="s">
        <v>918</v>
      </c>
      <c r="F237" s="21" t="s">
        <v>918</v>
      </c>
      <c r="G237" s="81" t="s">
        <v>760</v>
      </c>
      <c r="H237" s="127" t="str">
        <f t="shared" si="53"/>
        <v>ATENDIDO</v>
      </c>
      <c r="I237" s="24" t="s">
        <v>22</v>
      </c>
      <c r="J237" s="24" t="s">
        <v>10</v>
      </c>
      <c r="K237" s="24" t="s">
        <v>102</v>
      </c>
      <c r="L237" s="24" t="s">
        <v>77</v>
      </c>
      <c r="M237" s="24" t="s">
        <v>86</v>
      </c>
      <c r="N237" s="24" t="s">
        <v>211</v>
      </c>
      <c r="O237" s="25" t="s">
        <v>208</v>
      </c>
      <c r="P237" s="112" t="s">
        <v>181</v>
      </c>
      <c r="Q237" s="24" t="s">
        <v>229</v>
      </c>
      <c r="R237" s="82">
        <f>Tabla1[[#This Row],[Origin Date ]]+3</f>
        <v>45828</v>
      </c>
      <c r="S237" s="2">
        <v>45827</v>
      </c>
      <c r="T237" s="96">
        <f t="shared" si="47"/>
        <v>-1</v>
      </c>
      <c r="U237" s="35" t="str">
        <f t="shared" si="54"/>
        <v>Realizada a Tiempo</v>
      </c>
      <c r="V237" s="24" t="str">
        <f t="shared" si="51"/>
        <v>Cerrada</v>
      </c>
      <c r="W237" s="51">
        <v>0.9</v>
      </c>
      <c r="X237" s="54" t="s">
        <v>944</v>
      </c>
      <c r="Y237" s="28" t="s">
        <v>58</v>
      </c>
      <c r="Z237" s="36">
        <v>120</v>
      </c>
      <c r="AA237" s="36" t="s">
        <v>52</v>
      </c>
      <c r="AB237" s="52">
        <f>Tabla1[[#This Row],[Fecha de Entrega
End Date]]+$Z237</f>
        <v>45947</v>
      </c>
      <c r="AC237" s="44"/>
      <c r="AD237" s="53" t="s">
        <v>814</v>
      </c>
      <c r="AE237" s="37" t="s">
        <v>835</v>
      </c>
    </row>
    <row r="238" spans="1:31" ht="36.75" customHeight="1" x14ac:dyDescent="0.3">
      <c r="A238" s="103">
        <v>45825</v>
      </c>
      <c r="B238" s="111">
        <f t="shared" si="52"/>
        <v>234</v>
      </c>
      <c r="C238" s="22"/>
      <c r="D238" s="22"/>
      <c r="E238" s="21" t="s">
        <v>909</v>
      </c>
      <c r="F238" s="21" t="s">
        <v>909</v>
      </c>
      <c r="G238" s="81" t="s">
        <v>760</v>
      </c>
      <c r="H238" s="127" t="str">
        <f t="shared" si="53"/>
        <v>ATENDIDO</v>
      </c>
      <c r="I238" s="24" t="s">
        <v>22</v>
      </c>
      <c r="J238" s="24" t="s">
        <v>10</v>
      </c>
      <c r="K238" s="24" t="s">
        <v>102</v>
      </c>
      <c r="L238" s="24" t="s">
        <v>77</v>
      </c>
      <c r="M238" s="24" t="s">
        <v>86</v>
      </c>
      <c r="N238" s="24" t="s">
        <v>211</v>
      </c>
      <c r="O238" s="25" t="s">
        <v>208</v>
      </c>
      <c r="P238" s="112" t="s">
        <v>181</v>
      </c>
      <c r="Q238" s="24" t="s">
        <v>229</v>
      </c>
      <c r="R238" s="82">
        <f>Tabla1[[#This Row],[Origin Date ]]+3</f>
        <v>45828</v>
      </c>
      <c r="S238" s="2">
        <v>45827</v>
      </c>
      <c r="T238" s="96">
        <f t="shared" si="47"/>
        <v>-1</v>
      </c>
      <c r="U238" s="35" t="str">
        <f t="shared" si="54"/>
        <v>Realizada a Tiempo</v>
      </c>
      <c r="V238" s="24" t="str">
        <f t="shared" si="51"/>
        <v>Cerrada</v>
      </c>
      <c r="W238" s="51">
        <v>0.9</v>
      </c>
      <c r="X238" s="54" t="s">
        <v>945</v>
      </c>
      <c r="Y238" s="28" t="s">
        <v>58</v>
      </c>
      <c r="Z238" s="36">
        <v>120</v>
      </c>
      <c r="AA238" s="36" t="s">
        <v>52</v>
      </c>
      <c r="AB238" s="52">
        <f>Tabla1[[#This Row],[Fecha de Entrega
End Date]]+$Z238</f>
        <v>45947</v>
      </c>
      <c r="AC238" s="44"/>
      <c r="AD238" s="53" t="s">
        <v>814</v>
      </c>
      <c r="AE238" s="37" t="s">
        <v>835</v>
      </c>
    </row>
    <row r="239" spans="1:31" ht="33.75" customHeight="1" x14ac:dyDescent="0.3">
      <c r="A239" s="103">
        <v>45826</v>
      </c>
      <c r="B239" s="111">
        <f t="shared" si="52"/>
        <v>235</v>
      </c>
      <c r="C239" s="22"/>
      <c r="D239" s="22"/>
      <c r="E239" s="21" t="s">
        <v>910</v>
      </c>
      <c r="F239" s="21" t="s">
        <v>910</v>
      </c>
      <c r="G239" s="81" t="s">
        <v>574</v>
      </c>
      <c r="H239" s="127" t="str">
        <f t="shared" si="53"/>
        <v>ATENDIDO</v>
      </c>
      <c r="I239" s="24" t="s">
        <v>61</v>
      </c>
      <c r="J239" s="24" t="s">
        <v>10</v>
      </c>
      <c r="K239" s="24" t="s">
        <v>116</v>
      </c>
      <c r="L239" s="24" t="s">
        <v>77</v>
      </c>
      <c r="M239" s="24" t="s">
        <v>95</v>
      </c>
      <c r="N239" s="24" t="s">
        <v>209</v>
      </c>
      <c r="O239" s="25" t="s">
        <v>208</v>
      </c>
      <c r="P239" s="112" t="s">
        <v>73</v>
      </c>
      <c r="Q239" s="24" t="s">
        <v>320</v>
      </c>
      <c r="R239" s="82">
        <f>Tabla1[[#This Row],[Origin Date ]]+3</f>
        <v>45829</v>
      </c>
      <c r="S239" s="2">
        <v>45826</v>
      </c>
      <c r="T239" s="96">
        <f t="shared" si="47"/>
        <v>-3</v>
      </c>
      <c r="U239" s="35" t="str">
        <f t="shared" si="54"/>
        <v>Realizada a Tiempo</v>
      </c>
      <c r="V239" s="24" t="str">
        <f t="shared" si="51"/>
        <v>Cerrada</v>
      </c>
      <c r="W239" s="51">
        <v>0.2</v>
      </c>
      <c r="X239" s="54"/>
      <c r="Y239" s="28" t="s">
        <v>58</v>
      </c>
      <c r="Z239" s="36">
        <v>30</v>
      </c>
      <c r="AA239" s="36" t="s">
        <v>51</v>
      </c>
      <c r="AB239" s="52">
        <f>Tabla1[[#This Row],[Fecha de Entrega
End Date]]+$Z239</f>
        <v>45856</v>
      </c>
      <c r="AC239" s="44"/>
      <c r="AD239" s="53" t="s">
        <v>386</v>
      </c>
      <c r="AE239" s="37"/>
    </row>
    <row r="240" spans="1:31" ht="37.5" customHeight="1" x14ac:dyDescent="0.3">
      <c r="A240" s="103">
        <v>45826</v>
      </c>
      <c r="B240" s="111">
        <f t="shared" si="52"/>
        <v>236</v>
      </c>
      <c r="C240" s="22"/>
      <c r="D240" s="22"/>
      <c r="E240" s="21" t="s">
        <v>913</v>
      </c>
      <c r="F240" s="21" t="s">
        <v>913</v>
      </c>
      <c r="G240" s="81" t="s">
        <v>760</v>
      </c>
      <c r="H240" s="127" t="str">
        <f t="shared" si="53"/>
        <v>ALTA</v>
      </c>
      <c r="I240" s="24" t="s">
        <v>61</v>
      </c>
      <c r="J240" s="24" t="s">
        <v>10</v>
      </c>
      <c r="K240" s="24" t="s">
        <v>102</v>
      </c>
      <c r="L240" s="24" t="s">
        <v>77</v>
      </c>
      <c r="M240" s="24" t="s">
        <v>95</v>
      </c>
      <c r="N240" s="24" t="s">
        <v>211</v>
      </c>
      <c r="O240" s="25" t="s">
        <v>208</v>
      </c>
      <c r="P240" s="112" t="s">
        <v>73</v>
      </c>
      <c r="Q240" s="24" t="s">
        <v>320</v>
      </c>
      <c r="R240" s="82">
        <f>Tabla1[[#This Row],[Origin Date ]]+3</f>
        <v>45829</v>
      </c>
      <c r="S240" s="2"/>
      <c r="T240" s="96" t="str">
        <f t="shared" si="47"/>
        <v>-</v>
      </c>
      <c r="U240" s="35" t="str">
        <f t="shared" ca="1" si="54"/>
        <v>Atrasada</v>
      </c>
      <c r="V240" s="24" t="str">
        <f t="shared" si="51"/>
        <v>Abierta</v>
      </c>
      <c r="W240" s="51">
        <v>0.2</v>
      </c>
      <c r="X240" s="54"/>
      <c r="Y240" s="28" t="s">
        <v>58</v>
      </c>
      <c r="Z240" s="36">
        <v>30</v>
      </c>
      <c r="AA240" s="36" t="s">
        <v>49</v>
      </c>
      <c r="AB240" s="52">
        <f>Tabla1[[#This Row],[Fecha de Entrega
End Date]]+$Z240</f>
        <v>30</v>
      </c>
      <c r="AC240" s="44"/>
      <c r="AD240" s="53" t="s">
        <v>585</v>
      </c>
      <c r="AE240" s="37"/>
    </row>
    <row r="241" spans="1:31" ht="33.75" customHeight="1" x14ac:dyDescent="0.3">
      <c r="A241" s="103">
        <v>45840</v>
      </c>
      <c r="B241" s="111">
        <f t="shared" si="52"/>
        <v>237</v>
      </c>
      <c r="C241" s="22"/>
      <c r="D241" s="22"/>
      <c r="E241" s="21" t="s">
        <v>955</v>
      </c>
      <c r="F241" s="21" t="s">
        <v>955</v>
      </c>
      <c r="G241" s="81" t="s">
        <v>760</v>
      </c>
      <c r="H241" s="127" t="str">
        <f t="shared" si="53"/>
        <v>ATENDIDO</v>
      </c>
      <c r="I241" s="24" t="s">
        <v>61</v>
      </c>
      <c r="J241" s="24" t="s">
        <v>16</v>
      </c>
      <c r="K241" s="24" t="s">
        <v>102</v>
      </c>
      <c r="L241" s="24" t="s">
        <v>77</v>
      </c>
      <c r="M241" s="24" t="s">
        <v>86</v>
      </c>
      <c r="N241" s="24" t="s">
        <v>211</v>
      </c>
      <c r="O241" s="25" t="s">
        <v>208</v>
      </c>
      <c r="P241" s="112" t="s">
        <v>181</v>
      </c>
      <c r="Q241" s="24" t="s">
        <v>229</v>
      </c>
      <c r="R241" s="82">
        <f>Tabla1[[#This Row],[Origin Date ]]+3</f>
        <v>45843</v>
      </c>
      <c r="S241" s="2">
        <v>45841</v>
      </c>
      <c r="T241" s="96">
        <f t="shared" si="47"/>
        <v>-2</v>
      </c>
      <c r="U241" s="35" t="str">
        <f t="shared" si="54"/>
        <v>Realizada a Tiempo</v>
      </c>
      <c r="V241" s="24" t="str">
        <f t="shared" si="51"/>
        <v>Cerrada</v>
      </c>
      <c r="W241" s="51">
        <v>0.9</v>
      </c>
      <c r="X241" s="54"/>
      <c r="Y241" s="28" t="s">
        <v>58</v>
      </c>
      <c r="Z241" s="36">
        <v>120</v>
      </c>
      <c r="AA241" s="36" t="s">
        <v>50</v>
      </c>
      <c r="AB241" s="52">
        <f>Tabla1[[#This Row],[Fecha de Entrega
End Date]]+$Z241</f>
        <v>45961</v>
      </c>
      <c r="AC241" s="44"/>
      <c r="AD241" s="53" t="s">
        <v>386</v>
      </c>
      <c r="AE241" s="37"/>
    </row>
    <row r="242" spans="1:31" ht="40.5" customHeight="1" x14ac:dyDescent="0.3">
      <c r="A242" s="103">
        <v>45826</v>
      </c>
      <c r="B242" s="111">
        <f t="shared" si="52"/>
        <v>238</v>
      </c>
      <c r="C242" s="22"/>
      <c r="D242" s="22"/>
      <c r="E242" s="21" t="s">
        <v>911</v>
      </c>
      <c r="F242" s="21" t="s">
        <v>911</v>
      </c>
      <c r="G242" s="81" t="s">
        <v>537</v>
      </c>
      <c r="H242" s="127" t="str">
        <f t="shared" si="53"/>
        <v>ATENDIDO</v>
      </c>
      <c r="I242" s="24" t="s">
        <v>22</v>
      </c>
      <c r="J242" s="24" t="s">
        <v>10</v>
      </c>
      <c r="K242" s="24" t="s">
        <v>124</v>
      </c>
      <c r="L242" s="24" t="s">
        <v>77</v>
      </c>
      <c r="M242" s="24" t="s">
        <v>86</v>
      </c>
      <c r="N242" s="24" t="s">
        <v>185</v>
      </c>
      <c r="O242" s="25" t="s">
        <v>208</v>
      </c>
      <c r="P242" s="112" t="s">
        <v>181</v>
      </c>
      <c r="Q242" s="24" t="s">
        <v>320</v>
      </c>
      <c r="R242" s="82">
        <f>Tabla1[[#This Row],[Origin Date ]]+3</f>
        <v>45829</v>
      </c>
      <c r="S242" s="2">
        <v>45828</v>
      </c>
      <c r="T242" s="96">
        <f t="shared" si="47"/>
        <v>-1</v>
      </c>
      <c r="U242" s="35" t="str">
        <f t="shared" si="54"/>
        <v>Realizada a Tiempo</v>
      </c>
      <c r="V242" s="24" t="str">
        <f t="shared" si="51"/>
        <v>Cerrada</v>
      </c>
      <c r="W242" s="51">
        <v>0.8</v>
      </c>
      <c r="X242" s="54"/>
      <c r="Y242" s="28" t="s">
        <v>58</v>
      </c>
      <c r="Z242" s="36">
        <v>30</v>
      </c>
      <c r="AA242" s="36" t="s">
        <v>51</v>
      </c>
      <c r="AB242" s="52">
        <f>Tabla1[[#This Row],[Fecha de Entrega
End Date]]+$Z242</f>
        <v>45858</v>
      </c>
      <c r="AC242" s="44"/>
      <c r="AD242" s="53" t="s">
        <v>386</v>
      </c>
      <c r="AE242" s="37"/>
    </row>
    <row r="243" spans="1:31" ht="39.75" customHeight="1" x14ac:dyDescent="0.3">
      <c r="A243" s="103">
        <v>45825</v>
      </c>
      <c r="B243" s="111">
        <f t="shared" si="52"/>
        <v>239</v>
      </c>
      <c r="C243" s="22"/>
      <c r="D243" s="22"/>
      <c r="E243" s="21" t="s">
        <v>919</v>
      </c>
      <c r="F243" s="21" t="s">
        <v>919</v>
      </c>
      <c r="G243" s="81" t="s">
        <v>760</v>
      </c>
      <c r="H243" s="127" t="str">
        <f t="shared" si="53"/>
        <v>ATENDIDO</v>
      </c>
      <c r="I243" s="24" t="s">
        <v>22</v>
      </c>
      <c r="J243" s="24" t="s">
        <v>10</v>
      </c>
      <c r="K243" s="24" t="s">
        <v>102</v>
      </c>
      <c r="L243" s="24" t="s">
        <v>77</v>
      </c>
      <c r="M243" s="24" t="s">
        <v>86</v>
      </c>
      <c r="N243" s="24" t="s">
        <v>211</v>
      </c>
      <c r="O243" s="25" t="s">
        <v>208</v>
      </c>
      <c r="P243" s="112" t="s">
        <v>181</v>
      </c>
      <c r="Q243" s="24" t="s">
        <v>229</v>
      </c>
      <c r="R243" s="82">
        <f>Tabla1[[#This Row],[Origin Date ]]+3</f>
        <v>45828</v>
      </c>
      <c r="S243" s="2">
        <v>45826</v>
      </c>
      <c r="T243" s="96">
        <f t="shared" si="47"/>
        <v>-2</v>
      </c>
      <c r="U243" s="35" t="str">
        <f t="shared" si="54"/>
        <v>Realizada a Tiempo</v>
      </c>
      <c r="V243" s="24" t="str">
        <f t="shared" si="51"/>
        <v>Cerrada</v>
      </c>
      <c r="W243" s="51">
        <v>1</v>
      </c>
      <c r="X243" s="54" t="s">
        <v>907</v>
      </c>
      <c r="Y243" s="28" t="s">
        <v>58</v>
      </c>
      <c r="Z243" s="36"/>
      <c r="AA243" s="36"/>
      <c r="AB243" s="52">
        <f>Tabla1[[#This Row],[Fecha de Entrega
End Date]]+$Z243</f>
        <v>45826</v>
      </c>
      <c r="AC243" s="44"/>
      <c r="AD243" s="53" t="s">
        <v>386</v>
      </c>
      <c r="AE243" s="37"/>
    </row>
    <row r="244" spans="1:31" ht="34.5" customHeight="1" x14ac:dyDescent="0.3">
      <c r="A244" s="103">
        <v>45828</v>
      </c>
      <c r="B244" s="111">
        <f t="shared" si="52"/>
        <v>240</v>
      </c>
      <c r="C244" s="22"/>
      <c r="D244" s="22"/>
      <c r="E244" s="21" t="s">
        <v>912</v>
      </c>
      <c r="F244" s="21" t="s">
        <v>912</v>
      </c>
      <c r="G244" s="81" t="s">
        <v>760</v>
      </c>
      <c r="H244" s="127" t="str">
        <f t="shared" si="53"/>
        <v>ATENDIDO</v>
      </c>
      <c r="I244" s="24" t="s">
        <v>22</v>
      </c>
      <c r="J244" s="101"/>
      <c r="K244" s="24" t="s">
        <v>102</v>
      </c>
      <c r="L244" s="24"/>
      <c r="M244" s="24" t="s">
        <v>86</v>
      </c>
      <c r="N244" s="24" t="s">
        <v>211</v>
      </c>
      <c r="O244" s="25" t="s">
        <v>208</v>
      </c>
      <c r="P244" s="112"/>
      <c r="Q244" s="24" t="s">
        <v>229</v>
      </c>
      <c r="R244" s="82">
        <f>Tabla1[[#This Row],[Origin Date ]]+3</f>
        <v>45831</v>
      </c>
      <c r="S244" s="2">
        <v>45831</v>
      </c>
      <c r="T244" s="96">
        <f t="shared" si="47"/>
        <v>0</v>
      </c>
      <c r="U244" s="35" t="str">
        <f t="shared" si="54"/>
        <v>Realizada a Tiempo</v>
      </c>
      <c r="V244" s="24" t="str">
        <f t="shared" si="51"/>
        <v>Cerrada</v>
      </c>
      <c r="W244" s="51">
        <v>0.5</v>
      </c>
      <c r="X244" s="54"/>
      <c r="Y244" s="28" t="s">
        <v>58</v>
      </c>
      <c r="Z244" s="36"/>
      <c r="AA244" s="36"/>
      <c r="AB244" s="52">
        <f>Tabla1[[#This Row],[Fecha de Entrega
End Date]]+$Z244</f>
        <v>45831</v>
      </c>
      <c r="AC244" s="44"/>
      <c r="AD244" s="53" t="s">
        <v>814</v>
      </c>
      <c r="AE244" s="37" t="s">
        <v>935</v>
      </c>
    </row>
    <row r="245" spans="1:31" ht="27" customHeight="1" x14ac:dyDescent="0.3">
      <c r="A245" s="103">
        <v>45828</v>
      </c>
      <c r="B245" s="111">
        <f t="shared" si="52"/>
        <v>241</v>
      </c>
      <c r="C245" s="22"/>
      <c r="D245" s="22"/>
      <c r="E245" s="21" t="s">
        <v>920</v>
      </c>
      <c r="F245" s="21" t="s">
        <v>920</v>
      </c>
      <c r="G245" s="81" t="s">
        <v>760</v>
      </c>
      <c r="H245" s="127" t="str">
        <f t="shared" si="53"/>
        <v>ATENDIDO</v>
      </c>
      <c r="I245" s="24" t="s">
        <v>22</v>
      </c>
      <c r="J245" s="101"/>
      <c r="K245" s="24" t="s">
        <v>102</v>
      </c>
      <c r="L245" s="24"/>
      <c r="M245" s="24" t="s">
        <v>86</v>
      </c>
      <c r="N245" s="24" t="s">
        <v>211</v>
      </c>
      <c r="O245" s="25" t="s">
        <v>208</v>
      </c>
      <c r="P245" s="112"/>
      <c r="Q245" s="24" t="s">
        <v>320</v>
      </c>
      <c r="R245" s="82">
        <f>Tabla1[[#This Row],[Origin Date ]]+3</f>
        <v>45831</v>
      </c>
      <c r="S245" s="2">
        <v>45828</v>
      </c>
      <c r="T245" s="96">
        <f t="shared" si="47"/>
        <v>-3</v>
      </c>
      <c r="U245" s="35" t="str">
        <f t="shared" si="54"/>
        <v>Realizada a Tiempo</v>
      </c>
      <c r="V245" s="24" t="str">
        <f t="shared" si="51"/>
        <v>Cerrada</v>
      </c>
      <c r="W245" s="51">
        <v>1</v>
      </c>
      <c r="X245" s="54"/>
      <c r="Y245" s="102" t="s">
        <v>58</v>
      </c>
      <c r="Z245" s="36"/>
      <c r="AA245" s="36"/>
      <c r="AB245" s="52">
        <f>Tabla1[[#This Row],[Fecha de Entrega
End Date]]+$Z245</f>
        <v>45828</v>
      </c>
      <c r="AC245" s="44"/>
      <c r="AD245" s="53" t="s">
        <v>386</v>
      </c>
      <c r="AE245" s="37"/>
    </row>
    <row r="246" spans="1:31" ht="32.25" customHeight="1" x14ac:dyDescent="0.3">
      <c r="A246" s="103">
        <v>45829</v>
      </c>
      <c r="B246" s="111">
        <f t="shared" si="52"/>
        <v>242</v>
      </c>
      <c r="C246" s="22"/>
      <c r="D246" s="22"/>
      <c r="E246" s="21" t="s">
        <v>923</v>
      </c>
      <c r="F246" s="21" t="s">
        <v>923</v>
      </c>
      <c r="G246" s="81" t="s">
        <v>760</v>
      </c>
      <c r="H246" s="127" t="str">
        <f t="shared" si="53"/>
        <v>ATENDIDO</v>
      </c>
      <c r="I246" s="24" t="s">
        <v>22</v>
      </c>
      <c r="J246" s="101"/>
      <c r="K246" s="24" t="s">
        <v>102</v>
      </c>
      <c r="L246" s="24"/>
      <c r="M246" s="24" t="s">
        <v>86</v>
      </c>
      <c r="N246" s="24" t="s">
        <v>211</v>
      </c>
      <c r="O246" s="25" t="s">
        <v>208</v>
      </c>
      <c r="P246" s="112"/>
      <c r="Q246" s="24" t="s">
        <v>320</v>
      </c>
      <c r="R246" s="82">
        <f>Tabla1[[#This Row],[Origin Date ]]+3</f>
        <v>45832</v>
      </c>
      <c r="S246" s="2">
        <v>45829</v>
      </c>
      <c r="T246" s="96">
        <f t="shared" si="47"/>
        <v>-3</v>
      </c>
      <c r="U246" s="35" t="str">
        <f t="shared" si="54"/>
        <v>Realizada a Tiempo</v>
      </c>
      <c r="V246" s="24" t="str">
        <f t="shared" si="51"/>
        <v>Cerrada</v>
      </c>
      <c r="W246" s="51">
        <v>1</v>
      </c>
      <c r="X246" s="54"/>
      <c r="Y246" s="102" t="s">
        <v>58</v>
      </c>
      <c r="Z246" s="36"/>
      <c r="AA246" s="36" t="s">
        <v>51</v>
      </c>
      <c r="AB246" s="52">
        <f>Tabla1[[#This Row],[Fecha de Entrega
End Date]]+$Z246</f>
        <v>45829</v>
      </c>
      <c r="AC246" s="44"/>
      <c r="AD246" s="53" t="s">
        <v>386</v>
      </c>
      <c r="AE246" s="37"/>
    </row>
    <row r="247" spans="1:31" ht="33.75" customHeight="1" x14ac:dyDescent="0.3">
      <c r="A247" s="103">
        <v>45829</v>
      </c>
      <c r="B247" s="111">
        <f t="shared" si="52"/>
        <v>243</v>
      </c>
      <c r="C247" s="22"/>
      <c r="D247" s="22"/>
      <c r="E247" s="21" t="s">
        <v>932</v>
      </c>
      <c r="F247" s="21" t="s">
        <v>932</v>
      </c>
      <c r="G247" s="81" t="s">
        <v>760</v>
      </c>
      <c r="H247" s="127" t="str">
        <f t="shared" si="53"/>
        <v>ATENDIDO</v>
      </c>
      <c r="I247" s="24" t="s">
        <v>22</v>
      </c>
      <c r="J247" s="101"/>
      <c r="K247" s="24" t="s">
        <v>102</v>
      </c>
      <c r="L247" s="24"/>
      <c r="M247" s="24" t="s">
        <v>86</v>
      </c>
      <c r="N247" s="24" t="s">
        <v>211</v>
      </c>
      <c r="O247" s="25" t="s">
        <v>208</v>
      </c>
      <c r="P247" s="112"/>
      <c r="Q247" s="24" t="s">
        <v>320</v>
      </c>
      <c r="R247" s="82">
        <f>Tabla1[[#This Row],[Origin Date ]]+3</f>
        <v>45832</v>
      </c>
      <c r="S247" s="2">
        <v>45831</v>
      </c>
      <c r="T247" s="96">
        <f t="shared" si="47"/>
        <v>-1</v>
      </c>
      <c r="U247" s="35" t="str">
        <f t="shared" si="54"/>
        <v>Realizada a Tiempo</v>
      </c>
      <c r="V247" s="24" t="str">
        <f t="shared" si="51"/>
        <v>Cerrada</v>
      </c>
      <c r="W247" s="51">
        <v>1</v>
      </c>
      <c r="X247" s="54" t="s">
        <v>928</v>
      </c>
      <c r="Y247" s="102" t="s">
        <v>452</v>
      </c>
      <c r="Z247" s="36">
        <v>30</v>
      </c>
      <c r="AA247" s="36" t="s">
        <v>51</v>
      </c>
      <c r="AB247" s="52">
        <f>Tabla1[[#This Row],[Fecha de Entrega
End Date]]+$Z247</f>
        <v>45861</v>
      </c>
      <c r="AC247" s="84" t="s">
        <v>929</v>
      </c>
      <c r="AD247" s="53" t="s">
        <v>386</v>
      </c>
      <c r="AE247" s="37"/>
    </row>
    <row r="248" spans="1:31" ht="34.5" customHeight="1" x14ac:dyDescent="0.3">
      <c r="A248" s="103">
        <v>45831</v>
      </c>
      <c r="B248" s="111">
        <f t="shared" si="52"/>
        <v>244</v>
      </c>
      <c r="C248" s="22"/>
      <c r="D248" s="22"/>
      <c r="E248" s="21" t="s">
        <v>921</v>
      </c>
      <c r="F248" s="21" t="s">
        <v>921</v>
      </c>
      <c r="G248" s="81" t="s">
        <v>574</v>
      </c>
      <c r="H248" s="127" t="str">
        <f t="shared" si="53"/>
        <v>ATENDIDO</v>
      </c>
      <c r="I248" s="111" t="s">
        <v>21</v>
      </c>
      <c r="J248" s="101"/>
      <c r="K248" s="24" t="s">
        <v>116</v>
      </c>
      <c r="L248" s="24"/>
      <c r="M248" s="24" t="s">
        <v>86</v>
      </c>
      <c r="N248" s="24" t="s">
        <v>209</v>
      </c>
      <c r="O248" s="25" t="s">
        <v>208</v>
      </c>
      <c r="P248" s="112"/>
      <c r="Q248" s="24" t="s">
        <v>229</v>
      </c>
      <c r="R248" s="82">
        <f>Tabla1[[#This Row],[Origin Date ]]+3</f>
        <v>45834</v>
      </c>
      <c r="S248" s="2">
        <v>45831</v>
      </c>
      <c r="T248" s="96">
        <f t="shared" si="47"/>
        <v>-3</v>
      </c>
      <c r="U248" s="35" t="str">
        <f t="shared" si="54"/>
        <v>Realizada a Tiempo</v>
      </c>
      <c r="V248" s="24" t="str">
        <f t="shared" si="51"/>
        <v>Cerrada</v>
      </c>
      <c r="W248" s="51">
        <v>1</v>
      </c>
      <c r="X248" s="54" t="s">
        <v>922</v>
      </c>
      <c r="Y248" s="102" t="s">
        <v>58</v>
      </c>
      <c r="Z248" s="36">
        <v>120</v>
      </c>
      <c r="AA248" s="36" t="s">
        <v>51</v>
      </c>
      <c r="AB248" s="52">
        <f>Tabla1[[#This Row],[Fecha de Entrega
End Date]]+$Z248</f>
        <v>45951</v>
      </c>
      <c r="AC248" s="84" t="s">
        <v>927</v>
      </c>
      <c r="AD248" s="53" t="s">
        <v>386</v>
      </c>
      <c r="AE248" s="37"/>
    </row>
    <row r="249" spans="1:31" ht="27.75" customHeight="1" x14ac:dyDescent="0.3">
      <c r="A249" s="103">
        <v>45829</v>
      </c>
      <c r="B249" s="111">
        <f t="shared" si="52"/>
        <v>245</v>
      </c>
      <c r="C249" s="22"/>
      <c r="D249" s="22"/>
      <c r="E249" s="21" t="s">
        <v>924</v>
      </c>
      <c r="F249" s="21" t="s">
        <v>924</v>
      </c>
      <c r="G249" s="81" t="s">
        <v>760</v>
      </c>
      <c r="H249" s="127" t="str">
        <f t="shared" si="53"/>
        <v>ATENDIDO</v>
      </c>
      <c r="I249" s="24" t="s">
        <v>22</v>
      </c>
      <c r="J249" s="101"/>
      <c r="K249" s="24" t="s">
        <v>102</v>
      </c>
      <c r="L249" s="24"/>
      <c r="M249" s="24" t="s">
        <v>86</v>
      </c>
      <c r="N249" s="24"/>
      <c r="O249" s="25" t="s">
        <v>208</v>
      </c>
      <c r="P249" s="112"/>
      <c r="Q249" s="24" t="s">
        <v>229</v>
      </c>
      <c r="R249" s="82">
        <f>Tabla1[[#This Row],[Origin Date ]]+3</f>
        <v>45832</v>
      </c>
      <c r="S249" s="2">
        <v>45831</v>
      </c>
      <c r="T249" s="96">
        <f t="shared" si="47"/>
        <v>-1</v>
      </c>
      <c r="U249" s="35" t="str">
        <f t="shared" si="54"/>
        <v>Realizada a Tiempo</v>
      </c>
      <c r="V249" s="24" t="str">
        <f t="shared" si="51"/>
        <v>Cerrada</v>
      </c>
      <c r="W249" s="51">
        <v>1</v>
      </c>
      <c r="X249" s="54" t="s">
        <v>926</v>
      </c>
      <c r="Y249" s="102" t="s">
        <v>452</v>
      </c>
      <c r="Z249" s="36">
        <v>120</v>
      </c>
      <c r="AA249" s="36" t="s">
        <v>51</v>
      </c>
      <c r="AB249" s="52">
        <f>Tabla1[[#This Row],[Fecha de Entrega
End Date]]+$Z249</f>
        <v>45951</v>
      </c>
      <c r="AC249" s="44"/>
      <c r="AD249" s="53" t="s">
        <v>386</v>
      </c>
      <c r="AE249" s="37"/>
    </row>
    <row r="250" spans="1:31" ht="32.25" customHeight="1" x14ac:dyDescent="0.3">
      <c r="A250" s="103">
        <v>45845</v>
      </c>
      <c r="B250" s="111">
        <f t="shared" si="52"/>
        <v>246</v>
      </c>
      <c r="C250" s="22"/>
      <c r="D250" s="22"/>
      <c r="E250" s="21" t="s">
        <v>925</v>
      </c>
      <c r="F250" s="21" t="s">
        <v>925</v>
      </c>
      <c r="G250" s="81" t="s">
        <v>760</v>
      </c>
      <c r="H250" s="127" t="str">
        <f t="shared" si="53"/>
        <v>ATENDIDO</v>
      </c>
      <c r="I250" s="24" t="s">
        <v>22</v>
      </c>
      <c r="J250" s="101"/>
      <c r="K250" s="24" t="s">
        <v>102</v>
      </c>
      <c r="L250" s="24"/>
      <c r="M250" s="24" t="s">
        <v>86</v>
      </c>
      <c r="N250" s="24"/>
      <c r="O250" s="25" t="s">
        <v>208</v>
      </c>
      <c r="P250" s="112"/>
      <c r="Q250" s="24" t="s">
        <v>229</v>
      </c>
      <c r="R250" s="82">
        <f>Tabla1[[#This Row],[Origin Date ]]+3</f>
        <v>45848</v>
      </c>
      <c r="S250" s="2">
        <v>45848</v>
      </c>
      <c r="T250" s="96">
        <f t="shared" si="47"/>
        <v>0</v>
      </c>
      <c r="U250" s="35" t="str">
        <f t="shared" si="54"/>
        <v>Realizada a Tiempo</v>
      </c>
      <c r="V250" s="24" t="str">
        <f t="shared" si="51"/>
        <v>Cerrada</v>
      </c>
      <c r="W250" s="51">
        <v>0.8</v>
      </c>
      <c r="X250" s="54"/>
      <c r="Y250" s="102" t="s">
        <v>452</v>
      </c>
      <c r="Z250" s="36"/>
      <c r="AA250" s="36"/>
      <c r="AB250" s="52">
        <f>Tabla1[[#This Row],[Fecha de Entrega
End Date]]+$Z250</f>
        <v>45848</v>
      </c>
      <c r="AC250" s="44"/>
      <c r="AD250" s="53" t="s">
        <v>386</v>
      </c>
      <c r="AE250" s="37" t="s">
        <v>986</v>
      </c>
    </row>
    <row r="251" spans="1:31" ht="38.25" customHeight="1" x14ac:dyDescent="0.3">
      <c r="A251" s="103">
        <v>45829</v>
      </c>
      <c r="B251" s="111">
        <f t="shared" si="52"/>
        <v>247</v>
      </c>
      <c r="C251" s="22"/>
      <c r="D251" s="22"/>
      <c r="E251" s="21" t="s">
        <v>931</v>
      </c>
      <c r="F251" s="21" t="s">
        <v>931</v>
      </c>
      <c r="G251" s="81" t="s">
        <v>760</v>
      </c>
      <c r="H251" s="127" t="str">
        <f t="shared" si="53"/>
        <v>ATENDIDO</v>
      </c>
      <c r="I251" s="24" t="s">
        <v>22</v>
      </c>
      <c r="J251" s="101"/>
      <c r="K251" s="24" t="s">
        <v>102</v>
      </c>
      <c r="L251" s="24"/>
      <c r="M251" s="24" t="s">
        <v>86</v>
      </c>
      <c r="N251" s="24"/>
      <c r="O251" s="25" t="s">
        <v>208</v>
      </c>
      <c r="P251" s="112"/>
      <c r="Q251" s="24" t="s">
        <v>320</v>
      </c>
      <c r="R251" s="82">
        <f>Tabla1[[#This Row],[Origin Date ]]+3</f>
        <v>45832</v>
      </c>
      <c r="S251" s="2">
        <v>45832</v>
      </c>
      <c r="T251" s="96">
        <f t="shared" si="47"/>
        <v>0</v>
      </c>
      <c r="U251" s="35" t="str">
        <f t="shared" si="54"/>
        <v>Realizada a Tiempo</v>
      </c>
      <c r="V251" s="24" t="str">
        <f t="shared" si="51"/>
        <v>Cerrada</v>
      </c>
      <c r="W251" s="51">
        <v>1</v>
      </c>
      <c r="X251" s="54" t="s">
        <v>933</v>
      </c>
      <c r="Y251" s="102" t="s">
        <v>58</v>
      </c>
      <c r="Z251" s="36">
        <v>30</v>
      </c>
      <c r="AA251" s="36" t="s">
        <v>51</v>
      </c>
      <c r="AB251" s="52">
        <f>Tabla1[[#This Row],[Fecha de Entrega
End Date]]+$Z251</f>
        <v>45862</v>
      </c>
      <c r="AC251" s="44"/>
      <c r="AD251" s="53" t="s">
        <v>386</v>
      </c>
      <c r="AE251" s="37"/>
    </row>
    <row r="252" spans="1:31" ht="25.5" customHeight="1" x14ac:dyDescent="0.3">
      <c r="A252" s="103">
        <v>45831</v>
      </c>
      <c r="B252" s="111">
        <f t="shared" si="52"/>
        <v>248</v>
      </c>
      <c r="C252" s="22"/>
      <c r="D252" s="22"/>
      <c r="E252" s="21" t="s">
        <v>930</v>
      </c>
      <c r="F252" s="21" t="s">
        <v>930</v>
      </c>
      <c r="G252" s="81" t="s">
        <v>760</v>
      </c>
      <c r="H252" s="127" t="str">
        <f t="shared" si="53"/>
        <v>ATENDIDO</v>
      </c>
      <c r="I252" s="24" t="s">
        <v>22</v>
      </c>
      <c r="J252" s="101"/>
      <c r="K252" s="24" t="s">
        <v>102</v>
      </c>
      <c r="L252" s="24"/>
      <c r="M252" s="24" t="s">
        <v>86</v>
      </c>
      <c r="N252" s="24"/>
      <c r="O252" s="25" t="s">
        <v>208</v>
      </c>
      <c r="P252" s="112"/>
      <c r="Q252" s="24" t="s">
        <v>229</v>
      </c>
      <c r="R252" s="82">
        <f>Tabla1[[#This Row],[Origin Date ]]+3</f>
        <v>45834</v>
      </c>
      <c r="S252" s="2">
        <v>45834</v>
      </c>
      <c r="T252" s="96">
        <f t="shared" si="47"/>
        <v>0</v>
      </c>
      <c r="U252" s="35" t="str">
        <f t="shared" si="54"/>
        <v>Realizada a Tiempo</v>
      </c>
      <c r="V252" s="24" t="str">
        <f t="shared" si="51"/>
        <v>Cerrada</v>
      </c>
      <c r="W252" s="51">
        <v>1</v>
      </c>
      <c r="X252" s="54" t="s">
        <v>934</v>
      </c>
      <c r="Y252" s="102" t="s">
        <v>58</v>
      </c>
      <c r="Z252" s="36">
        <v>30</v>
      </c>
      <c r="AA252" s="36" t="s">
        <v>52</v>
      </c>
      <c r="AB252" s="52">
        <f>Tabla1[[#This Row],[Fecha de Entrega
End Date]]+$Z252</f>
        <v>45864</v>
      </c>
      <c r="AC252" s="44"/>
      <c r="AD252" s="53" t="s">
        <v>386</v>
      </c>
      <c r="AE252" s="37"/>
    </row>
    <row r="253" spans="1:31" ht="40.5" customHeight="1" x14ac:dyDescent="0.3">
      <c r="A253" s="103">
        <v>45832</v>
      </c>
      <c r="B253" s="111">
        <f t="shared" si="52"/>
        <v>249</v>
      </c>
      <c r="C253" s="22"/>
      <c r="D253" s="22"/>
      <c r="E253" s="21" t="s">
        <v>937</v>
      </c>
      <c r="F253" s="21" t="s">
        <v>937</v>
      </c>
      <c r="G253" s="81" t="s">
        <v>537</v>
      </c>
      <c r="H253" s="127" t="str">
        <f t="shared" si="53"/>
        <v>ATENDIDO</v>
      </c>
      <c r="I253" s="111" t="s">
        <v>61</v>
      </c>
      <c r="J253" s="101"/>
      <c r="K253" s="24" t="s">
        <v>124</v>
      </c>
      <c r="L253" s="24"/>
      <c r="M253" s="24" t="s">
        <v>86</v>
      </c>
      <c r="N253" s="24" t="s">
        <v>185</v>
      </c>
      <c r="O253" s="25" t="s">
        <v>208</v>
      </c>
      <c r="P253" s="112"/>
      <c r="Q253" s="24" t="s">
        <v>229</v>
      </c>
      <c r="R253" s="82">
        <f>Tabla1[[#This Row],[Origin Date ]]+3</f>
        <v>45835</v>
      </c>
      <c r="S253" s="2">
        <v>45834</v>
      </c>
      <c r="T253" s="96">
        <f t="shared" si="47"/>
        <v>-1</v>
      </c>
      <c r="U253" s="35" t="str">
        <f t="shared" si="54"/>
        <v>Realizada a Tiempo</v>
      </c>
      <c r="V253" s="24" t="str">
        <f t="shared" si="51"/>
        <v>Cerrada</v>
      </c>
      <c r="W253" s="51">
        <v>1</v>
      </c>
      <c r="X253" s="54" t="s">
        <v>938</v>
      </c>
      <c r="Y253" s="102" t="s">
        <v>58</v>
      </c>
      <c r="Z253" s="36">
        <v>30</v>
      </c>
      <c r="AA253" s="36" t="s">
        <v>52</v>
      </c>
      <c r="AB253" s="52">
        <f>Tabla1[[#This Row],[Fecha de Entrega
End Date]]+$Z253</f>
        <v>45864</v>
      </c>
      <c r="AC253" s="44"/>
      <c r="AD253" s="53" t="s">
        <v>386</v>
      </c>
      <c r="AE253" s="37"/>
    </row>
    <row r="254" spans="1:31" ht="34.5" customHeight="1" x14ac:dyDescent="0.3">
      <c r="A254" s="103">
        <v>45833</v>
      </c>
      <c r="B254" s="111">
        <f t="shared" si="52"/>
        <v>250</v>
      </c>
      <c r="C254" s="22"/>
      <c r="D254" s="22"/>
      <c r="E254" s="21" t="s">
        <v>939</v>
      </c>
      <c r="F254" s="21" t="s">
        <v>939</v>
      </c>
      <c r="G254" s="81" t="s">
        <v>734</v>
      </c>
      <c r="H254" s="127" t="str">
        <f t="shared" si="53"/>
        <v>ATENDIDO</v>
      </c>
      <c r="I254" s="24" t="s">
        <v>21</v>
      </c>
      <c r="J254" s="24" t="s">
        <v>10</v>
      </c>
      <c r="K254" s="24" t="s">
        <v>102</v>
      </c>
      <c r="L254" s="24" t="s">
        <v>77</v>
      </c>
      <c r="M254" s="24" t="s">
        <v>86</v>
      </c>
      <c r="N254" s="24" t="s">
        <v>185</v>
      </c>
      <c r="O254" s="25" t="s">
        <v>208</v>
      </c>
      <c r="P254" s="112" t="s">
        <v>463</v>
      </c>
      <c r="Q254" s="24" t="s">
        <v>229</v>
      </c>
      <c r="R254" s="82">
        <f>Tabla1[[#This Row],[Origin Date ]]+3</f>
        <v>45836</v>
      </c>
      <c r="S254" s="2">
        <v>45836</v>
      </c>
      <c r="T254" s="96">
        <f t="shared" si="47"/>
        <v>0</v>
      </c>
      <c r="U254" s="35" t="str">
        <f t="shared" si="54"/>
        <v>Realizada a Tiempo</v>
      </c>
      <c r="V254" s="24" t="str">
        <f t="shared" si="51"/>
        <v>Cerrada</v>
      </c>
      <c r="W254" s="51">
        <v>0.5</v>
      </c>
      <c r="X254" s="54"/>
      <c r="Y254" s="102" t="s">
        <v>58</v>
      </c>
      <c r="Z254" s="36"/>
      <c r="AA254" s="36" t="s">
        <v>52</v>
      </c>
      <c r="AB254" s="52">
        <f>Tabla1[[#This Row],[Fecha de Entrega
End Date]]+$Z254</f>
        <v>45836</v>
      </c>
      <c r="AC254" s="44"/>
      <c r="AD254" s="53" t="s">
        <v>384</v>
      </c>
      <c r="AE254" s="37" t="s">
        <v>960</v>
      </c>
    </row>
    <row r="255" spans="1:31" ht="33.75" customHeight="1" x14ac:dyDescent="0.3">
      <c r="A255" s="103">
        <v>45833</v>
      </c>
      <c r="B255" s="111">
        <f t="shared" si="52"/>
        <v>251</v>
      </c>
      <c r="C255" s="22"/>
      <c r="D255" s="22"/>
      <c r="E255" s="21" t="s">
        <v>941</v>
      </c>
      <c r="F255" s="21" t="s">
        <v>941</v>
      </c>
      <c r="G255" s="81" t="s">
        <v>537</v>
      </c>
      <c r="H255" s="127" t="str">
        <f t="shared" si="53"/>
        <v>ATENDIDO</v>
      </c>
      <c r="I255" s="24" t="s">
        <v>22</v>
      </c>
      <c r="J255" s="24" t="s">
        <v>10</v>
      </c>
      <c r="K255" s="24" t="s">
        <v>124</v>
      </c>
      <c r="L255" s="24" t="s">
        <v>77</v>
      </c>
      <c r="M255" s="24" t="s">
        <v>86</v>
      </c>
      <c r="N255" s="24" t="s">
        <v>185</v>
      </c>
      <c r="O255" s="25" t="s">
        <v>208</v>
      </c>
      <c r="P255" s="112" t="s">
        <v>181</v>
      </c>
      <c r="Q255" s="24" t="s">
        <v>229</v>
      </c>
      <c r="R255" s="82">
        <f>Tabla1[[#This Row],[Origin Date ]]+3</f>
        <v>45836</v>
      </c>
      <c r="S255" s="2">
        <v>45836</v>
      </c>
      <c r="T255" s="96">
        <f t="shared" si="47"/>
        <v>0</v>
      </c>
      <c r="U255" s="35" t="str">
        <f t="shared" si="54"/>
        <v>Realizada a Tiempo</v>
      </c>
      <c r="V255" s="24" t="str">
        <f t="shared" si="51"/>
        <v>Cerrada</v>
      </c>
      <c r="W255" s="51">
        <v>1</v>
      </c>
      <c r="X255" s="54" t="s">
        <v>961</v>
      </c>
      <c r="Y255" s="102" t="s">
        <v>452</v>
      </c>
      <c r="Z255" s="36">
        <v>30</v>
      </c>
      <c r="AA255" s="36" t="s">
        <v>51</v>
      </c>
      <c r="AB255" s="52">
        <f>Tabla1[[#This Row],[Fecha de Entrega
End Date]]+$Z255</f>
        <v>45866</v>
      </c>
      <c r="AC255" s="44"/>
      <c r="AD255" s="53" t="s">
        <v>386</v>
      </c>
      <c r="AE255" s="37"/>
    </row>
    <row r="256" spans="1:31" ht="30" customHeight="1" x14ac:dyDescent="0.3">
      <c r="A256" s="103">
        <v>45833</v>
      </c>
      <c r="B256" s="111">
        <f t="shared" si="52"/>
        <v>252</v>
      </c>
      <c r="C256" s="22"/>
      <c r="D256" s="22"/>
      <c r="E256" s="21" t="s">
        <v>942</v>
      </c>
      <c r="F256" s="21" t="s">
        <v>942</v>
      </c>
      <c r="G256" s="81" t="s">
        <v>537</v>
      </c>
      <c r="H256" s="127" t="str">
        <f t="shared" si="53"/>
        <v>ATENDIDO</v>
      </c>
      <c r="I256" s="24" t="s">
        <v>22</v>
      </c>
      <c r="J256" s="24" t="s">
        <v>10</v>
      </c>
      <c r="K256" s="24" t="s">
        <v>124</v>
      </c>
      <c r="L256" s="24" t="s">
        <v>77</v>
      </c>
      <c r="M256" s="24" t="s">
        <v>86</v>
      </c>
      <c r="N256" s="24" t="s">
        <v>185</v>
      </c>
      <c r="O256" s="25" t="s">
        <v>208</v>
      </c>
      <c r="P256" s="112" t="s">
        <v>181</v>
      </c>
      <c r="Q256" s="24" t="s">
        <v>229</v>
      </c>
      <c r="R256" s="82">
        <f>Tabla1[[#This Row],[Origin Date ]]+3</f>
        <v>45836</v>
      </c>
      <c r="S256" s="2">
        <v>45836</v>
      </c>
      <c r="T256" s="96">
        <f t="shared" si="47"/>
        <v>0</v>
      </c>
      <c r="U256" s="35" t="str">
        <f t="shared" si="54"/>
        <v>Realizada a Tiempo</v>
      </c>
      <c r="V256" s="24" t="str">
        <f t="shared" si="51"/>
        <v>Cerrada</v>
      </c>
      <c r="W256" s="51">
        <v>1</v>
      </c>
      <c r="X256" s="54" t="s">
        <v>961</v>
      </c>
      <c r="Y256" s="102" t="s">
        <v>452</v>
      </c>
      <c r="Z256" s="36">
        <v>30</v>
      </c>
      <c r="AA256" s="36" t="s">
        <v>51</v>
      </c>
      <c r="AB256" s="52">
        <f>Tabla1[[#This Row],[Fecha de Entrega
End Date]]+$Z256</f>
        <v>45866</v>
      </c>
      <c r="AC256" s="44"/>
      <c r="AD256" s="53" t="s">
        <v>386</v>
      </c>
      <c r="AE256" s="37"/>
    </row>
    <row r="257" spans="1:31" ht="36.75" customHeight="1" x14ac:dyDescent="0.3">
      <c r="A257" s="103">
        <v>45835</v>
      </c>
      <c r="B257" s="111">
        <f t="shared" si="52"/>
        <v>253</v>
      </c>
      <c r="C257" s="22"/>
      <c r="D257" s="22"/>
      <c r="E257" s="21" t="s">
        <v>952</v>
      </c>
      <c r="F257" s="21" t="s">
        <v>952</v>
      </c>
      <c r="G257" s="81" t="s">
        <v>943</v>
      </c>
      <c r="H257" s="127" t="str">
        <f t="shared" si="53"/>
        <v>ATENDIDO</v>
      </c>
      <c r="I257" s="24" t="s">
        <v>21</v>
      </c>
      <c r="J257" s="24" t="s">
        <v>10</v>
      </c>
      <c r="K257" s="24" t="s">
        <v>124</v>
      </c>
      <c r="L257" s="24" t="s">
        <v>87</v>
      </c>
      <c r="M257" s="24" t="s">
        <v>86</v>
      </c>
      <c r="N257" s="24" t="s">
        <v>185</v>
      </c>
      <c r="O257" s="25" t="s">
        <v>208</v>
      </c>
      <c r="P257" s="112" t="s">
        <v>463</v>
      </c>
      <c r="Q257" s="24" t="s">
        <v>320</v>
      </c>
      <c r="R257" s="82">
        <f>Tabla1[[#This Row],[Origin Date ]]+3</f>
        <v>45838</v>
      </c>
      <c r="S257" s="2">
        <v>45838</v>
      </c>
      <c r="T257" s="96">
        <f t="shared" si="47"/>
        <v>0</v>
      </c>
      <c r="U257" s="35" t="str">
        <f t="shared" si="54"/>
        <v>Realizada a Tiempo</v>
      </c>
      <c r="V257" s="24" t="str">
        <f t="shared" si="51"/>
        <v>Cerrada</v>
      </c>
      <c r="W257" s="51">
        <v>0.8</v>
      </c>
      <c r="X257" s="54" t="s">
        <v>962</v>
      </c>
      <c r="Y257" s="102" t="s">
        <v>58</v>
      </c>
      <c r="Z257" s="36">
        <v>120</v>
      </c>
      <c r="AA257" s="36" t="s">
        <v>52</v>
      </c>
      <c r="AB257" s="52">
        <f>Tabla1[[#This Row],[Fecha de Entrega
End Date]]+$Z257</f>
        <v>45958</v>
      </c>
      <c r="AC257" s="44"/>
      <c r="AD257" s="53" t="s">
        <v>814</v>
      </c>
      <c r="AE257" s="37" t="s">
        <v>963</v>
      </c>
    </row>
    <row r="258" spans="1:31" ht="39.75" customHeight="1" x14ac:dyDescent="0.3">
      <c r="A258" s="103">
        <v>45835</v>
      </c>
      <c r="B258" s="111">
        <f t="shared" si="52"/>
        <v>254</v>
      </c>
      <c r="C258" s="22"/>
      <c r="D258" s="22"/>
      <c r="E258" s="21" t="s">
        <v>1049</v>
      </c>
      <c r="F258" s="21" t="s">
        <v>1049</v>
      </c>
      <c r="G258" s="81" t="s">
        <v>574</v>
      </c>
      <c r="H258" s="127" t="str">
        <f t="shared" si="53"/>
        <v>ALTA</v>
      </c>
      <c r="I258" s="24" t="s">
        <v>61</v>
      </c>
      <c r="J258" s="24" t="s">
        <v>10</v>
      </c>
      <c r="K258" s="24" t="s">
        <v>116</v>
      </c>
      <c r="L258" s="24" t="s">
        <v>87</v>
      </c>
      <c r="M258" s="24" t="s">
        <v>86</v>
      </c>
      <c r="N258" s="24" t="s">
        <v>209</v>
      </c>
      <c r="O258" s="25" t="s">
        <v>208</v>
      </c>
      <c r="P258" s="112" t="s">
        <v>73</v>
      </c>
      <c r="Q258" s="24" t="s">
        <v>93</v>
      </c>
      <c r="R258" s="82">
        <f>Tabla1[[#This Row],[Origin Date ]]+3</f>
        <v>45838</v>
      </c>
      <c r="S258" s="2"/>
      <c r="T258" s="96" t="str">
        <f t="shared" si="47"/>
        <v>-</v>
      </c>
      <c r="U258" s="35" t="str">
        <f t="shared" ca="1" si="54"/>
        <v>Atrasada</v>
      </c>
      <c r="V258" s="24" t="str">
        <f t="shared" si="51"/>
        <v>Abierta</v>
      </c>
      <c r="W258" s="51">
        <v>0.5</v>
      </c>
      <c r="X258" s="54" t="s">
        <v>964</v>
      </c>
      <c r="Y258" s="102" t="s">
        <v>58</v>
      </c>
      <c r="Z258" s="36">
        <v>120</v>
      </c>
      <c r="AA258" s="36" t="s">
        <v>52</v>
      </c>
      <c r="AB258" s="52">
        <f>Tabla1[[#This Row],[Fecha de Entrega
End Date]]+$Z258</f>
        <v>120</v>
      </c>
      <c r="AC258" s="44"/>
      <c r="AD258" s="53" t="s">
        <v>243</v>
      </c>
      <c r="AE258" s="37"/>
    </row>
    <row r="259" spans="1:31" ht="36.75" customHeight="1" x14ac:dyDescent="0.3">
      <c r="A259" s="103">
        <v>45838</v>
      </c>
      <c r="B259" s="111">
        <f t="shared" ref="B259:B290" si="55">IF(A259&lt;&gt;"",1+B258,"")</f>
        <v>255</v>
      </c>
      <c r="C259" s="22"/>
      <c r="D259" s="22"/>
      <c r="E259" s="21" t="s">
        <v>947</v>
      </c>
      <c r="F259" s="21" t="s">
        <v>947</v>
      </c>
      <c r="G259" s="81" t="s">
        <v>965</v>
      </c>
      <c r="H259" s="127" t="str">
        <f t="shared" ref="H259:H322" si="56">IF((A259=""),"",IF((V259="Cerrada"),"ATENDIDO",IF(OR((($AA$2-A259)=0),(($AA$2-A259)=-1),(($AA$2-A259)=-2),(($AA$2-A259)=-3)),"BAJO",IF((T259="-3"),"MEDIO","ALTA"))))</f>
        <v>ATENDIDO</v>
      </c>
      <c r="I259" s="24" t="s">
        <v>20</v>
      </c>
      <c r="J259" s="24" t="s">
        <v>10</v>
      </c>
      <c r="K259" s="24" t="s">
        <v>102</v>
      </c>
      <c r="L259" s="24" t="s">
        <v>87</v>
      </c>
      <c r="M259" s="24" t="s">
        <v>86</v>
      </c>
      <c r="N259" s="24" t="s">
        <v>185</v>
      </c>
      <c r="O259" s="25" t="s">
        <v>208</v>
      </c>
      <c r="P259" s="112" t="s">
        <v>181</v>
      </c>
      <c r="Q259" s="24" t="s">
        <v>229</v>
      </c>
      <c r="R259" s="82">
        <f>Tabla1[[#This Row],[Origin Date ]]+3</f>
        <v>45841</v>
      </c>
      <c r="S259" s="2">
        <v>45839</v>
      </c>
      <c r="T259" s="83">
        <f t="shared" ref="T259:T290" si="57">IF((R259=""),"",IF((V259="Cerrada"),(S259-R259),IF((($AA$2-R259)&lt;=0),"-",($AA$2-R259))))</f>
        <v>-2</v>
      </c>
      <c r="U259" s="35" t="str">
        <f t="shared" si="54"/>
        <v>Realizada a Tiempo</v>
      </c>
      <c r="V259" s="24" t="str">
        <f t="shared" si="51"/>
        <v>Cerrada</v>
      </c>
      <c r="W259" s="51">
        <v>1</v>
      </c>
      <c r="X259" s="54" t="s">
        <v>966</v>
      </c>
      <c r="Y259" s="102" t="s">
        <v>452</v>
      </c>
      <c r="Z259" s="36">
        <v>120</v>
      </c>
      <c r="AA259" s="36" t="s">
        <v>52</v>
      </c>
      <c r="AB259" s="52">
        <f>Tabla1[[#This Row],[Fecha de Entrega
End Date]]+$Z259</f>
        <v>45959</v>
      </c>
      <c r="AC259" s="44"/>
      <c r="AD259" s="53" t="s">
        <v>386</v>
      </c>
      <c r="AE259" s="37"/>
    </row>
    <row r="260" spans="1:31" ht="28.5" customHeight="1" x14ac:dyDescent="0.3">
      <c r="A260" s="103">
        <v>45845</v>
      </c>
      <c r="B260" s="111">
        <f t="shared" si="55"/>
        <v>256</v>
      </c>
      <c r="C260" s="22"/>
      <c r="D260" s="22"/>
      <c r="E260" s="21" t="s">
        <v>948</v>
      </c>
      <c r="F260" s="21" t="s">
        <v>948</v>
      </c>
      <c r="G260" s="81" t="s">
        <v>969</v>
      </c>
      <c r="H260" s="127" t="str">
        <f t="shared" si="56"/>
        <v>ATENDIDO</v>
      </c>
      <c r="I260" s="24" t="s">
        <v>20</v>
      </c>
      <c r="J260" s="24" t="s">
        <v>10</v>
      </c>
      <c r="K260" s="24" t="s">
        <v>102</v>
      </c>
      <c r="L260" s="24" t="s">
        <v>87</v>
      </c>
      <c r="M260" s="24" t="s">
        <v>86</v>
      </c>
      <c r="N260" s="24" t="s">
        <v>209</v>
      </c>
      <c r="O260" s="25" t="s">
        <v>208</v>
      </c>
      <c r="P260" s="112" t="s">
        <v>967</v>
      </c>
      <c r="Q260" s="24" t="s">
        <v>229</v>
      </c>
      <c r="R260" s="82">
        <f>Tabla1[[#This Row],[Origin Date ]]+3</f>
        <v>45848</v>
      </c>
      <c r="S260" s="2">
        <v>45848</v>
      </c>
      <c r="T260" s="83">
        <f t="shared" si="57"/>
        <v>0</v>
      </c>
      <c r="U260" s="35" t="str">
        <f t="shared" si="54"/>
        <v>Realizada a Tiempo</v>
      </c>
      <c r="V260" s="24" t="str">
        <f t="shared" si="51"/>
        <v>Cerrada</v>
      </c>
      <c r="W260" s="51">
        <v>1</v>
      </c>
      <c r="X260" s="54" t="s">
        <v>968</v>
      </c>
      <c r="Y260" s="102" t="s">
        <v>452</v>
      </c>
      <c r="Z260" s="36">
        <v>120</v>
      </c>
      <c r="AA260" s="36" t="s">
        <v>52</v>
      </c>
      <c r="AB260" s="52">
        <f>Tabla1[[#This Row],[Fecha de Entrega
End Date]]+$Z260</f>
        <v>45968</v>
      </c>
      <c r="AC260" s="44"/>
      <c r="AD260" s="53" t="s">
        <v>386</v>
      </c>
      <c r="AE260" s="37"/>
    </row>
    <row r="261" spans="1:31" ht="36.75" customHeight="1" x14ac:dyDescent="0.3">
      <c r="A261" s="103">
        <v>45846</v>
      </c>
      <c r="B261" s="111">
        <f t="shared" si="55"/>
        <v>257</v>
      </c>
      <c r="C261" s="22"/>
      <c r="D261" s="22"/>
      <c r="E261" s="21" t="s">
        <v>949</v>
      </c>
      <c r="F261" s="21" t="s">
        <v>949</v>
      </c>
      <c r="G261" s="81" t="s">
        <v>970</v>
      </c>
      <c r="H261" s="127" t="str">
        <f t="shared" si="56"/>
        <v>ATENDIDO</v>
      </c>
      <c r="I261" s="24" t="s">
        <v>20</v>
      </c>
      <c r="J261" s="24" t="s">
        <v>10</v>
      </c>
      <c r="K261" s="24" t="s">
        <v>102</v>
      </c>
      <c r="L261" s="24" t="s">
        <v>87</v>
      </c>
      <c r="M261" s="24" t="s">
        <v>86</v>
      </c>
      <c r="N261" s="24" t="s">
        <v>185</v>
      </c>
      <c r="O261" s="25" t="s">
        <v>208</v>
      </c>
      <c r="P261" s="112" t="s">
        <v>972</v>
      </c>
      <c r="Q261" s="24" t="s">
        <v>229</v>
      </c>
      <c r="R261" s="82">
        <f>Tabla1[[#This Row],[Origin Date ]]+3</f>
        <v>45849</v>
      </c>
      <c r="S261" s="2">
        <v>45849</v>
      </c>
      <c r="T261" s="83">
        <f t="shared" si="57"/>
        <v>0</v>
      </c>
      <c r="U261" s="35" t="str">
        <f t="shared" si="54"/>
        <v>Realizada a Tiempo</v>
      </c>
      <c r="V261" s="24" t="str">
        <f t="shared" si="51"/>
        <v>Cerrada</v>
      </c>
      <c r="W261" s="51">
        <v>1</v>
      </c>
      <c r="X261" s="54" t="s">
        <v>975</v>
      </c>
      <c r="Y261" s="102" t="s">
        <v>452</v>
      </c>
      <c r="Z261" s="36">
        <v>120</v>
      </c>
      <c r="AA261" s="36" t="s">
        <v>52</v>
      </c>
      <c r="AB261" s="52">
        <f>Tabla1[[#This Row],[Fecha de Entrega
End Date]]+$Z261</f>
        <v>45969</v>
      </c>
      <c r="AC261" s="44"/>
      <c r="AD261" s="53" t="s">
        <v>386</v>
      </c>
      <c r="AE261" s="37"/>
    </row>
    <row r="262" spans="1:31" ht="30.75" customHeight="1" x14ac:dyDescent="0.3">
      <c r="A262" s="103">
        <v>45839</v>
      </c>
      <c r="B262" s="111">
        <f t="shared" si="55"/>
        <v>258</v>
      </c>
      <c r="C262" s="22"/>
      <c r="D262" s="22"/>
      <c r="E262" s="21" t="s">
        <v>950</v>
      </c>
      <c r="F262" s="21" t="s">
        <v>950</v>
      </c>
      <c r="G262" s="81" t="s">
        <v>971</v>
      </c>
      <c r="H262" s="127" t="str">
        <f t="shared" si="56"/>
        <v>ATENDIDO</v>
      </c>
      <c r="I262" s="24" t="s">
        <v>20</v>
      </c>
      <c r="J262" s="24" t="s">
        <v>10</v>
      </c>
      <c r="K262" s="24" t="s">
        <v>102</v>
      </c>
      <c r="L262" s="24" t="s">
        <v>87</v>
      </c>
      <c r="M262" s="24" t="s">
        <v>86</v>
      </c>
      <c r="N262" s="24" t="s">
        <v>209</v>
      </c>
      <c r="O262" s="25" t="s">
        <v>208</v>
      </c>
      <c r="P262" s="112" t="s">
        <v>973</v>
      </c>
      <c r="Q262" s="24" t="s">
        <v>229</v>
      </c>
      <c r="R262" s="82">
        <f>Tabla1[[#This Row],[Origin Date ]]+3</f>
        <v>45842</v>
      </c>
      <c r="S262" s="2">
        <v>45842</v>
      </c>
      <c r="T262" s="83">
        <f t="shared" si="57"/>
        <v>0</v>
      </c>
      <c r="U262" s="35" t="str">
        <f t="shared" si="54"/>
        <v>Realizada a Tiempo</v>
      </c>
      <c r="V262" s="24" t="str">
        <f t="shared" si="51"/>
        <v>Cerrada</v>
      </c>
      <c r="W262" s="51">
        <v>1</v>
      </c>
      <c r="X262" s="54" t="s">
        <v>974</v>
      </c>
      <c r="Y262" s="102" t="s">
        <v>452</v>
      </c>
      <c r="Z262" s="36">
        <v>120</v>
      </c>
      <c r="AA262" s="36" t="s">
        <v>52</v>
      </c>
      <c r="AB262" s="52">
        <f>Tabla1[[#This Row],[Fecha de Entrega
End Date]]+$Z262</f>
        <v>45962</v>
      </c>
      <c r="AC262" s="44"/>
      <c r="AD262" s="53" t="s">
        <v>386</v>
      </c>
      <c r="AE262" s="37"/>
    </row>
    <row r="263" spans="1:31" ht="47.25" customHeight="1" x14ac:dyDescent="0.3">
      <c r="A263" s="103">
        <v>45838</v>
      </c>
      <c r="B263" s="111">
        <f t="shared" si="55"/>
        <v>259</v>
      </c>
      <c r="C263" s="22"/>
      <c r="D263" s="22"/>
      <c r="E263" s="21" t="s">
        <v>951</v>
      </c>
      <c r="F263" s="21" t="s">
        <v>951</v>
      </c>
      <c r="G263" s="81" t="s">
        <v>537</v>
      </c>
      <c r="H263" s="127" t="str">
        <f t="shared" si="56"/>
        <v>ATENDIDO</v>
      </c>
      <c r="I263" s="24" t="s">
        <v>22</v>
      </c>
      <c r="J263" s="24" t="s">
        <v>10</v>
      </c>
      <c r="K263" s="24" t="s">
        <v>124</v>
      </c>
      <c r="L263" s="24" t="s">
        <v>87</v>
      </c>
      <c r="M263" s="24" t="s">
        <v>86</v>
      </c>
      <c r="N263" s="24" t="s">
        <v>185</v>
      </c>
      <c r="O263" s="25" t="s">
        <v>208</v>
      </c>
      <c r="P263" s="112" t="s">
        <v>181</v>
      </c>
      <c r="Q263" s="24" t="s">
        <v>229</v>
      </c>
      <c r="R263" s="82">
        <f>Tabla1[[#This Row],[Origin Date ]]+3</f>
        <v>45841</v>
      </c>
      <c r="S263" s="2">
        <v>45838</v>
      </c>
      <c r="T263" s="83">
        <f t="shared" si="57"/>
        <v>-3</v>
      </c>
      <c r="U263" s="35" t="str">
        <f t="shared" si="54"/>
        <v>Realizada a Tiempo</v>
      </c>
      <c r="V263" s="24" t="str">
        <f t="shared" si="51"/>
        <v>Cerrada</v>
      </c>
      <c r="W263" s="51">
        <v>1</v>
      </c>
      <c r="X263" s="54"/>
      <c r="Y263" s="102" t="s">
        <v>58</v>
      </c>
      <c r="Z263" s="36">
        <v>120</v>
      </c>
      <c r="AA263" s="36" t="s">
        <v>52</v>
      </c>
      <c r="AB263" s="52">
        <f>Tabla1[[#This Row],[Fecha de Entrega
End Date]]+$Z263</f>
        <v>45958</v>
      </c>
      <c r="AC263" s="44"/>
      <c r="AD263" s="53" t="s">
        <v>386</v>
      </c>
      <c r="AE263" s="37"/>
    </row>
    <row r="264" spans="1:31" ht="39" customHeight="1" x14ac:dyDescent="0.3">
      <c r="A264" s="103">
        <v>45838</v>
      </c>
      <c r="B264" s="111">
        <f t="shared" si="55"/>
        <v>260</v>
      </c>
      <c r="C264" s="22"/>
      <c r="D264" s="22"/>
      <c r="E264" s="21" t="s">
        <v>953</v>
      </c>
      <c r="F264" s="21" t="s">
        <v>953</v>
      </c>
      <c r="G264" s="81" t="s">
        <v>537</v>
      </c>
      <c r="H264" s="127" t="str">
        <f t="shared" si="56"/>
        <v>ATENDIDO</v>
      </c>
      <c r="I264" s="24" t="s">
        <v>21</v>
      </c>
      <c r="J264" s="24" t="s">
        <v>10</v>
      </c>
      <c r="K264" s="24" t="s">
        <v>124</v>
      </c>
      <c r="L264" s="24" t="s">
        <v>77</v>
      </c>
      <c r="M264" s="24" t="s">
        <v>86</v>
      </c>
      <c r="N264" s="24" t="s">
        <v>185</v>
      </c>
      <c r="O264" s="25" t="s">
        <v>208</v>
      </c>
      <c r="P264" s="112" t="s">
        <v>463</v>
      </c>
      <c r="Q264" s="24" t="s">
        <v>229</v>
      </c>
      <c r="R264" s="82">
        <f>Tabla1[[#This Row],[Origin Date ]]+3</f>
        <v>45841</v>
      </c>
      <c r="S264" s="2">
        <v>45840</v>
      </c>
      <c r="T264" s="83">
        <f t="shared" si="57"/>
        <v>-1</v>
      </c>
      <c r="U264" s="35" t="str">
        <f t="shared" si="54"/>
        <v>Realizada a Tiempo</v>
      </c>
      <c r="V264" s="24" t="str">
        <f t="shared" si="51"/>
        <v>Cerrada</v>
      </c>
      <c r="W264" s="51">
        <v>1</v>
      </c>
      <c r="X264" s="54" t="s">
        <v>958</v>
      </c>
      <c r="Y264" s="102" t="s">
        <v>58</v>
      </c>
      <c r="Z264" s="36">
        <v>120</v>
      </c>
      <c r="AA264" s="36" t="s">
        <v>52</v>
      </c>
      <c r="AB264" s="52">
        <f>Tabla1[[#This Row],[Fecha de Entrega
End Date]]+$Z264</f>
        <v>45960</v>
      </c>
      <c r="AC264" s="44"/>
      <c r="AD264" s="53" t="s">
        <v>386</v>
      </c>
      <c r="AE264" s="37"/>
    </row>
    <row r="265" spans="1:31" ht="32.25" customHeight="1" x14ac:dyDescent="0.3">
      <c r="A265" s="103">
        <v>45839</v>
      </c>
      <c r="B265" s="111">
        <f t="shared" si="55"/>
        <v>261</v>
      </c>
      <c r="C265" s="22"/>
      <c r="D265" s="22"/>
      <c r="E265" s="21" t="s">
        <v>954</v>
      </c>
      <c r="F265" s="21" t="s">
        <v>954</v>
      </c>
      <c r="G265" s="81" t="s">
        <v>537</v>
      </c>
      <c r="H265" s="127" t="str">
        <f t="shared" si="56"/>
        <v>ATENDIDO</v>
      </c>
      <c r="I265" s="24" t="s">
        <v>21</v>
      </c>
      <c r="J265" s="24" t="s">
        <v>8</v>
      </c>
      <c r="K265" s="24" t="s">
        <v>124</v>
      </c>
      <c r="L265" s="24" t="s">
        <v>76</v>
      </c>
      <c r="M265" s="24" t="s">
        <v>86</v>
      </c>
      <c r="N265" s="24" t="s">
        <v>185</v>
      </c>
      <c r="O265" s="25" t="s">
        <v>208</v>
      </c>
      <c r="P265" s="112" t="s">
        <v>463</v>
      </c>
      <c r="Q265" s="24" t="s">
        <v>320</v>
      </c>
      <c r="R265" s="82">
        <f>Tabla1[[#This Row],[Origin Date ]]+3</f>
        <v>45842</v>
      </c>
      <c r="S265" s="2">
        <v>45839</v>
      </c>
      <c r="T265" s="83">
        <f t="shared" si="57"/>
        <v>-3</v>
      </c>
      <c r="U265" s="35" t="str">
        <f t="shared" si="54"/>
        <v>Realizada a Tiempo</v>
      </c>
      <c r="V265" s="24" t="str">
        <f t="shared" si="51"/>
        <v>Cerrada</v>
      </c>
      <c r="W265" s="51">
        <v>1</v>
      </c>
      <c r="X265" s="54"/>
      <c r="Y265" s="102" t="s">
        <v>58</v>
      </c>
      <c r="Z265" s="36">
        <v>120</v>
      </c>
      <c r="AA265" s="36" t="s">
        <v>48</v>
      </c>
      <c r="AB265" s="52">
        <f>Tabla1[[#This Row],[Fecha de Entrega
End Date]]+$Z265</f>
        <v>45959</v>
      </c>
      <c r="AC265" s="44"/>
      <c r="AD265" s="53" t="s">
        <v>386</v>
      </c>
      <c r="AE265" s="37"/>
    </row>
    <row r="266" spans="1:31" ht="28.5" customHeight="1" x14ac:dyDescent="0.3">
      <c r="A266" s="103">
        <v>45839</v>
      </c>
      <c r="B266" s="111">
        <f t="shared" si="55"/>
        <v>262</v>
      </c>
      <c r="C266" s="22"/>
      <c r="D266" s="22"/>
      <c r="E266" s="21" t="s">
        <v>956</v>
      </c>
      <c r="F266" s="21" t="s">
        <v>956</v>
      </c>
      <c r="G266" s="81" t="s">
        <v>540</v>
      </c>
      <c r="H266" s="127" t="str">
        <f t="shared" si="56"/>
        <v>ATENDIDO</v>
      </c>
      <c r="I266" s="24" t="s">
        <v>22</v>
      </c>
      <c r="J266" s="24" t="s">
        <v>10</v>
      </c>
      <c r="K266" s="24" t="s">
        <v>120</v>
      </c>
      <c r="L266" s="24" t="s">
        <v>77</v>
      </c>
      <c r="M266" s="24" t="s">
        <v>86</v>
      </c>
      <c r="N266" s="24" t="s">
        <v>209</v>
      </c>
      <c r="O266" s="25" t="s">
        <v>208</v>
      </c>
      <c r="P266" s="112" t="s">
        <v>181</v>
      </c>
      <c r="Q266" s="24" t="s">
        <v>229</v>
      </c>
      <c r="R266" s="82">
        <f>Tabla1[[#This Row],[Origin Date ]]+3</f>
        <v>45842</v>
      </c>
      <c r="S266" s="2">
        <v>45842</v>
      </c>
      <c r="T266" s="83">
        <f t="shared" si="57"/>
        <v>0</v>
      </c>
      <c r="U266" s="35" t="str">
        <f t="shared" si="54"/>
        <v>Realizada a Tiempo</v>
      </c>
      <c r="V266" s="24" t="str">
        <f t="shared" si="51"/>
        <v>Cerrada</v>
      </c>
      <c r="W266" s="51">
        <v>0.8</v>
      </c>
      <c r="X266" s="54" t="s">
        <v>976</v>
      </c>
      <c r="Y266" s="102" t="s">
        <v>58</v>
      </c>
      <c r="Z266" s="36">
        <v>120</v>
      </c>
      <c r="AA266" s="36" t="s">
        <v>52</v>
      </c>
      <c r="AB266" s="52">
        <f>Tabla1[[#This Row],[Fecha de Entrega
End Date]]+$Z266</f>
        <v>45962</v>
      </c>
      <c r="AC266" s="44"/>
      <c r="AD266" s="53" t="s">
        <v>814</v>
      </c>
      <c r="AE266" s="37" t="s">
        <v>963</v>
      </c>
    </row>
    <row r="267" spans="1:31" ht="34.5" customHeight="1" x14ac:dyDescent="0.3">
      <c r="A267" s="103">
        <v>45845</v>
      </c>
      <c r="B267" s="111">
        <f t="shared" si="55"/>
        <v>263</v>
      </c>
      <c r="C267" s="22"/>
      <c r="D267" s="22"/>
      <c r="E267" s="21" t="s">
        <v>977</v>
      </c>
      <c r="F267" s="21" t="s">
        <v>977</v>
      </c>
      <c r="G267" s="81" t="s">
        <v>966</v>
      </c>
      <c r="H267" s="127" t="str">
        <f t="shared" si="56"/>
        <v>ATENDIDO</v>
      </c>
      <c r="I267" s="24" t="s">
        <v>61</v>
      </c>
      <c r="J267" s="24" t="s">
        <v>10</v>
      </c>
      <c r="K267" s="24" t="s">
        <v>60</v>
      </c>
      <c r="L267" s="24" t="s">
        <v>77</v>
      </c>
      <c r="M267" s="24" t="s">
        <v>86</v>
      </c>
      <c r="N267" s="24" t="s">
        <v>185</v>
      </c>
      <c r="O267" s="25" t="s">
        <v>208</v>
      </c>
      <c r="P267" s="112" t="s">
        <v>687</v>
      </c>
      <c r="Q267" s="24" t="s">
        <v>229</v>
      </c>
      <c r="R267" s="82">
        <f>Tabla1[[#This Row],[Origin Date ]]+3</f>
        <v>45848</v>
      </c>
      <c r="S267" s="2">
        <v>45849</v>
      </c>
      <c r="T267" s="83">
        <f t="shared" si="57"/>
        <v>1</v>
      </c>
      <c r="U267" s="35" t="str">
        <f t="shared" si="54"/>
        <v>Realizada a Tiempo</v>
      </c>
      <c r="V267" s="24" t="str">
        <f t="shared" si="51"/>
        <v>Cerrada</v>
      </c>
      <c r="W267" s="51">
        <v>1</v>
      </c>
      <c r="X267" s="54" t="s">
        <v>978</v>
      </c>
      <c r="Y267" s="102" t="s">
        <v>58</v>
      </c>
      <c r="Z267" s="36">
        <v>120</v>
      </c>
      <c r="AA267" s="36" t="s">
        <v>51</v>
      </c>
      <c r="AB267" s="52">
        <f>Tabla1[[#This Row],[Fecha de Entrega
End Date]]+$Z267</f>
        <v>45969</v>
      </c>
      <c r="AC267" s="44"/>
      <c r="AD267" s="53" t="s">
        <v>386</v>
      </c>
      <c r="AE267" s="37"/>
    </row>
    <row r="268" spans="1:31" ht="27" customHeight="1" x14ac:dyDescent="0.3">
      <c r="A268" s="103">
        <v>45839</v>
      </c>
      <c r="B268" s="111">
        <f t="shared" si="55"/>
        <v>264</v>
      </c>
      <c r="C268" s="22"/>
      <c r="D268" s="22"/>
      <c r="E268" s="21" t="s">
        <v>957</v>
      </c>
      <c r="F268" s="21" t="s">
        <v>957</v>
      </c>
      <c r="G268" s="81" t="s">
        <v>537</v>
      </c>
      <c r="H268" s="127" t="str">
        <f t="shared" si="56"/>
        <v>ALTA</v>
      </c>
      <c r="I268" s="24" t="s">
        <v>21</v>
      </c>
      <c r="J268" s="24" t="s">
        <v>10</v>
      </c>
      <c r="K268" s="24" t="s">
        <v>124</v>
      </c>
      <c r="L268" s="24" t="s">
        <v>77</v>
      </c>
      <c r="M268" s="24" t="s">
        <v>86</v>
      </c>
      <c r="N268" s="24" t="s">
        <v>185</v>
      </c>
      <c r="O268" s="25" t="s">
        <v>208</v>
      </c>
      <c r="P268" s="112" t="s">
        <v>463</v>
      </c>
      <c r="Q268" s="24" t="s">
        <v>93</v>
      </c>
      <c r="R268" s="82">
        <f>Tabla1[[#This Row],[Origin Date ]]+3</f>
        <v>45842</v>
      </c>
      <c r="S268" s="2"/>
      <c r="T268" s="83" t="str">
        <f t="shared" si="57"/>
        <v>-</v>
      </c>
      <c r="U268" s="35" t="str">
        <f t="shared" ca="1" si="54"/>
        <v>Atrasada</v>
      </c>
      <c r="V268" s="24" t="str">
        <f t="shared" si="51"/>
        <v>Abierta</v>
      </c>
      <c r="W268" s="51">
        <v>0.2</v>
      </c>
      <c r="X268" s="54"/>
      <c r="Y268" s="102"/>
      <c r="Z268" s="36"/>
      <c r="AA268" s="36"/>
      <c r="AB268" s="52">
        <f>Tabla1[[#This Row],[Fecha de Entrega
End Date]]+$Z268</f>
        <v>0</v>
      </c>
      <c r="AC268" s="44"/>
      <c r="AD268" s="53" t="s">
        <v>243</v>
      </c>
      <c r="AE268" s="37"/>
    </row>
    <row r="269" spans="1:31" ht="38.25" customHeight="1" x14ac:dyDescent="0.3">
      <c r="A269" s="103">
        <v>45840</v>
      </c>
      <c r="B269" s="111">
        <f t="shared" si="55"/>
        <v>265</v>
      </c>
      <c r="C269" s="22"/>
      <c r="D269" s="22"/>
      <c r="E269" s="21" t="s">
        <v>959</v>
      </c>
      <c r="F269" s="21" t="s">
        <v>959</v>
      </c>
      <c r="G269" s="81" t="s">
        <v>760</v>
      </c>
      <c r="H269" s="127" t="str">
        <f t="shared" si="56"/>
        <v>ATENDIDO</v>
      </c>
      <c r="I269" s="24" t="s">
        <v>22</v>
      </c>
      <c r="J269" s="24" t="s">
        <v>10</v>
      </c>
      <c r="K269" s="24" t="s">
        <v>102</v>
      </c>
      <c r="L269" s="24" t="s">
        <v>77</v>
      </c>
      <c r="M269" s="24" t="s">
        <v>86</v>
      </c>
      <c r="N269" s="24" t="s">
        <v>189</v>
      </c>
      <c r="O269" s="25" t="s">
        <v>208</v>
      </c>
      <c r="P269" s="112" t="s">
        <v>181</v>
      </c>
      <c r="Q269" s="24" t="s">
        <v>229</v>
      </c>
      <c r="R269" s="82">
        <f>Tabla1[[#This Row],[Origin Date ]]+3</f>
        <v>45843</v>
      </c>
      <c r="S269" s="2">
        <v>45843</v>
      </c>
      <c r="T269" s="83">
        <f t="shared" si="57"/>
        <v>0</v>
      </c>
      <c r="U269" s="35" t="str">
        <f t="shared" si="54"/>
        <v>Realizada a Tiempo</v>
      </c>
      <c r="V269" s="24" t="str">
        <f t="shared" si="51"/>
        <v>Cerrada</v>
      </c>
      <c r="W269" s="51">
        <v>1</v>
      </c>
      <c r="X269" s="54" t="s">
        <v>979</v>
      </c>
      <c r="Y269" s="102" t="s">
        <v>58</v>
      </c>
      <c r="Z269" s="36">
        <v>30</v>
      </c>
      <c r="AA269" s="36" t="s">
        <v>52</v>
      </c>
      <c r="AB269" s="52">
        <f>Tabla1[[#This Row],[Fecha de Entrega
End Date]]+$Z269</f>
        <v>45873</v>
      </c>
      <c r="AC269" s="44"/>
      <c r="AD269" s="53" t="s">
        <v>386</v>
      </c>
      <c r="AE269" s="37"/>
    </row>
    <row r="270" spans="1:31" ht="46.95" customHeight="1" x14ac:dyDescent="0.3">
      <c r="A270" s="103">
        <v>45840</v>
      </c>
      <c r="B270" s="111">
        <f t="shared" si="55"/>
        <v>266</v>
      </c>
      <c r="C270" s="22"/>
      <c r="D270" s="22"/>
      <c r="E270" s="21" t="s">
        <v>980</v>
      </c>
      <c r="F270" s="21" t="s">
        <v>980</v>
      </c>
      <c r="G270" s="81" t="s">
        <v>760</v>
      </c>
      <c r="H270" s="127" t="str">
        <f t="shared" si="56"/>
        <v>ATENDIDO</v>
      </c>
      <c r="I270" s="24" t="s">
        <v>22</v>
      </c>
      <c r="J270" s="24" t="s">
        <v>10</v>
      </c>
      <c r="K270" s="24" t="s">
        <v>102</v>
      </c>
      <c r="L270" s="24" t="s">
        <v>87</v>
      </c>
      <c r="M270" s="24" t="s">
        <v>86</v>
      </c>
      <c r="N270" s="24" t="s">
        <v>211</v>
      </c>
      <c r="O270" s="25" t="s">
        <v>208</v>
      </c>
      <c r="P270" s="112" t="s">
        <v>181</v>
      </c>
      <c r="Q270" s="24" t="s">
        <v>93</v>
      </c>
      <c r="R270" s="82">
        <f>Tabla1[[#This Row],[Origin Date ]]+3</f>
        <v>45843</v>
      </c>
      <c r="S270" s="2">
        <v>45841</v>
      </c>
      <c r="T270" s="83">
        <f t="shared" si="57"/>
        <v>-2</v>
      </c>
      <c r="U270" s="35" t="str">
        <f t="shared" si="54"/>
        <v>Realizada a Tiempo</v>
      </c>
      <c r="V270" s="24" t="str">
        <f t="shared" si="51"/>
        <v>Cerrada</v>
      </c>
      <c r="W270" s="51">
        <v>1</v>
      </c>
      <c r="X270" s="54" t="s">
        <v>981</v>
      </c>
      <c r="Y270" s="102" t="s">
        <v>58</v>
      </c>
      <c r="Z270" s="36"/>
      <c r="AA270" s="36" t="s">
        <v>52</v>
      </c>
      <c r="AB270" s="52">
        <f>Tabla1[[#This Row],[Fecha de Entrega
End Date]]+$Z270</f>
        <v>45841</v>
      </c>
      <c r="AC270" s="44"/>
      <c r="AD270" s="53" t="s">
        <v>814</v>
      </c>
      <c r="AE270" s="37" t="s">
        <v>963</v>
      </c>
    </row>
    <row r="271" spans="1:31" ht="33" customHeight="1" x14ac:dyDescent="0.3">
      <c r="A271" s="103">
        <v>45845</v>
      </c>
      <c r="B271" s="111">
        <f t="shared" si="55"/>
        <v>267</v>
      </c>
      <c r="C271" s="22"/>
      <c r="D271" s="22"/>
      <c r="E271" s="21" t="s">
        <v>982</v>
      </c>
      <c r="F271" s="21" t="s">
        <v>982</v>
      </c>
      <c r="G271" s="81" t="s">
        <v>966</v>
      </c>
      <c r="H271" s="127" t="str">
        <f t="shared" si="56"/>
        <v>ATENDIDO</v>
      </c>
      <c r="I271" s="24" t="s">
        <v>61</v>
      </c>
      <c r="J271" s="24" t="s">
        <v>10</v>
      </c>
      <c r="K271" s="24" t="s">
        <v>60</v>
      </c>
      <c r="L271" s="24" t="s">
        <v>87</v>
      </c>
      <c r="M271" s="24" t="s">
        <v>86</v>
      </c>
      <c r="N271" s="24" t="s">
        <v>185</v>
      </c>
      <c r="O271" s="25" t="s">
        <v>208</v>
      </c>
      <c r="P271" s="112" t="s">
        <v>687</v>
      </c>
      <c r="Q271" s="24" t="s">
        <v>93</v>
      </c>
      <c r="R271" s="82">
        <f>Tabla1[[#This Row],[Origin Date ]]+3</f>
        <v>45848</v>
      </c>
      <c r="S271" s="2">
        <v>45848</v>
      </c>
      <c r="T271" s="83">
        <f t="shared" si="57"/>
        <v>0</v>
      </c>
      <c r="U271" s="35" t="str">
        <f t="shared" si="54"/>
        <v>Realizada a Tiempo</v>
      </c>
      <c r="V271" s="24" t="str">
        <f t="shared" si="51"/>
        <v>Cerrada</v>
      </c>
      <c r="W271" s="51">
        <v>1</v>
      </c>
      <c r="X271" s="54" t="s">
        <v>983</v>
      </c>
      <c r="Y271" s="102" t="s">
        <v>58</v>
      </c>
      <c r="Z271" s="36">
        <v>30</v>
      </c>
      <c r="AA271" s="36" t="s">
        <v>52</v>
      </c>
      <c r="AB271" s="52">
        <f>Tabla1[[#This Row],[Fecha de Entrega
End Date]]+$Z271</f>
        <v>45878</v>
      </c>
      <c r="AC271" s="44"/>
      <c r="AD271" s="53" t="s">
        <v>386</v>
      </c>
      <c r="AE271" s="37"/>
    </row>
    <row r="272" spans="1:31" ht="27.6" customHeight="1" x14ac:dyDescent="0.3">
      <c r="A272" s="103">
        <v>45845</v>
      </c>
      <c r="B272" s="111">
        <f t="shared" si="55"/>
        <v>268</v>
      </c>
      <c r="C272" s="22"/>
      <c r="D272" s="22"/>
      <c r="E272" s="21" t="s">
        <v>984</v>
      </c>
      <c r="F272" s="21" t="s">
        <v>984</v>
      </c>
      <c r="G272" s="81" t="s">
        <v>985</v>
      </c>
      <c r="H272" s="127" t="str">
        <f t="shared" si="56"/>
        <v>ATENDIDO</v>
      </c>
      <c r="I272" s="24" t="s">
        <v>61</v>
      </c>
      <c r="J272" s="24" t="s">
        <v>10</v>
      </c>
      <c r="K272" s="24" t="s">
        <v>118</v>
      </c>
      <c r="L272" s="24" t="s">
        <v>87</v>
      </c>
      <c r="M272" s="24" t="s">
        <v>86</v>
      </c>
      <c r="N272" s="24" t="s">
        <v>209</v>
      </c>
      <c r="O272" s="25" t="s">
        <v>208</v>
      </c>
      <c r="P272" s="112" t="s">
        <v>967</v>
      </c>
      <c r="Q272" s="24" t="s">
        <v>229</v>
      </c>
      <c r="R272" s="82">
        <f>Tabla1[[#This Row],[Origin Date ]]+3</f>
        <v>45848</v>
      </c>
      <c r="S272" s="2">
        <v>45848</v>
      </c>
      <c r="T272" s="83">
        <f t="shared" si="57"/>
        <v>0</v>
      </c>
      <c r="U272" s="35" t="str">
        <f t="shared" si="54"/>
        <v>Realizada a Tiempo</v>
      </c>
      <c r="V272" s="24" t="str">
        <f t="shared" si="51"/>
        <v>Cerrada</v>
      </c>
      <c r="W272" s="51">
        <v>1</v>
      </c>
      <c r="X272" s="54"/>
      <c r="Y272" s="102"/>
      <c r="Z272" s="36"/>
      <c r="AA272" s="36"/>
      <c r="AB272" s="52">
        <f>Tabla1[[#This Row],[Fecha de Entrega
End Date]]+$Z272</f>
        <v>45848</v>
      </c>
      <c r="AC272" s="44"/>
      <c r="AD272" s="53" t="s">
        <v>386</v>
      </c>
      <c r="AE272" s="37"/>
    </row>
    <row r="273" spans="1:31" ht="31.95" customHeight="1" x14ac:dyDescent="0.3">
      <c r="A273" s="103">
        <v>45843</v>
      </c>
      <c r="B273" s="111">
        <f t="shared" si="55"/>
        <v>269</v>
      </c>
      <c r="C273" s="22"/>
      <c r="D273" s="22"/>
      <c r="E273" s="21" t="s">
        <v>987</v>
      </c>
      <c r="F273" s="21" t="s">
        <v>987</v>
      </c>
      <c r="G273" s="81" t="s">
        <v>974</v>
      </c>
      <c r="H273" s="127" t="str">
        <f t="shared" si="56"/>
        <v>ATENDIDO</v>
      </c>
      <c r="I273" s="24" t="s">
        <v>61</v>
      </c>
      <c r="J273" s="24" t="s">
        <v>10</v>
      </c>
      <c r="K273" s="24" t="s">
        <v>116</v>
      </c>
      <c r="L273" s="24" t="s">
        <v>87</v>
      </c>
      <c r="M273" s="24" t="s">
        <v>86</v>
      </c>
      <c r="N273" s="24" t="s">
        <v>209</v>
      </c>
      <c r="O273" s="25" t="s">
        <v>208</v>
      </c>
      <c r="P273" s="112" t="s">
        <v>73</v>
      </c>
      <c r="Q273" s="24" t="s">
        <v>229</v>
      </c>
      <c r="R273" s="82">
        <f>Tabla1[[#This Row],[Origin Date ]]+3</f>
        <v>45846</v>
      </c>
      <c r="S273" s="2">
        <v>45846</v>
      </c>
      <c r="T273" s="83">
        <f t="shared" si="57"/>
        <v>0</v>
      </c>
      <c r="U273" s="35" t="str">
        <f t="shared" si="54"/>
        <v>Realizada a Tiempo</v>
      </c>
      <c r="V273" s="24" t="str">
        <f t="shared" si="51"/>
        <v>Cerrada</v>
      </c>
      <c r="W273" s="51">
        <v>1</v>
      </c>
      <c r="X273" s="54"/>
      <c r="Y273" s="102" t="s">
        <v>58</v>
      </c>
      <c r="Z273" s="36"/>
      <c r="AA273" s="36"/>
      <c r="AB273" s="52">
        <f>Tabla1[[#This Row],[Fecha de Entrega
End Date]]+$Z273</f>
        <v>45846</v>
      </c>
      <c r="AC273" s="44"/>
      <c r="AD273" s="53" t="s">
        <v>386</v>
      </c>
      <c r="AE273" s="37"/>
    </row>
    <row r="274" spans="1:31" ht="29.4" customHeight="1" x14ac:dyDescent="0.3">
      <c r="A274" s="103">
        <v>45845</v>
      </c>
      <c r="B274" s="111">
        <f t="shared" si="55"/>
        <v>270</v>
      </c>
      <c r="C274" s="22"/>
      <c r="D274" s="22"/>
      <c r="E274" s="21" t="s">
        <v>988</v>
      </c>
      <c r="F274" s="21" t="s">
        <v>988</v>
      </c>
      <c r="G274" s="81" t="s">
        <v>966</v>
      </c>
      <c r="H274" s="127" t="str">
        <f t="shared" si="56"/>
        <v>ATENDIDO</v>
      </c>
      <c r="I274" s="24" t="s">
        <v>61</v>
      </c>
      <c r="J274" s="24" t="s">
        <v>10</v>
      </c>
      <c r="K274" s="24" t="s">
        <v>60</v>
      </c>
      <c r="L274" s="24" t="s">
        <v>87</v>
      </c>
      <c r="M274" s="24" t="s">
        <v>86</v>
      </c>
      <c r="N274" s="24" t="s">
        <v>185</v>
      </c>
      <c r="O274" s="25" t="s">
        <v>208</v>
      </c>
      <c r="P274" s="112" t="s">
        <v>687</v>
      </c>
      <c r="Q274" s="24" t="s">
        <v>229</v>
      </c>
      <c r="R274" s="82">
        <f>Tabla1[[#This Row],[Origin Date ]]+3</f>
        <v>45848</v>
      </c>
      <c r="S274" s="2">
        <v>45846</v>
      </c>
      <c r="T274" s="83">
        <f t="shared" si="57"/>
        <v>-2</v>
      </c>
      <c r="U274" s="35" t="str">
        <f t="shared" si="54"/>
        <v>Realizada a Tiempo</v>
      </c>
      <c r="V274" s="24" t="str">
        <f t="shared" si="51"/>
        <v>Cerrada</v>
      </c>
      <c r="W274" s="51">
        <v>1</v>
      </c>
      <c r="X274" s="54"/>
      <c r="Y274" s="102" t="s">
        <v>58</v>
      </c>
      <c r="Z274" s="36">
        <v>30</v>
      </c>
      <c r="AA274" s="36" t="s">
        <v>52</v>
      </c>
      <c r="AB274" s="52">
        <f>Tabla1[[#This Row],[Fecha de Entrega
End Date]]+$Z274</f>
        <v>45876</v>
      </c>
      <c r="AC274" s="44"/>
      <c r="AD274" s="53" t="s">
        <v>386</v>
      </c>
      <c r="AE274" s="37"/>
    </row>
    <row r="275" spans="1:31" ht="30.6" customHeight="1" x14ac:dyDescent="0.3">
      <c r="A275" s="103">
        <v>45845</v>
      </c>
      <c r="B275" s="111">
        <f t="shared" si="55"/>
        <v>271</v>
      </c>
      <c r="C275" s="22"/>
      <c r="D275" s="22"/>
      <c r="E275" s="21" t="s">
        <v>989</v>
      </c>
      <c r="F275" s="21" t="s">
        <v>989</v>
      </c>
      <c r="G275" s="81" t="s">
        <v>760</v>
      </c>
      <c r="H275" s="127" t="str">
        <f t="shared" si="56"/>
        <v>ATENDIDO</v>
      </c>
      <c r="I275" s="24" t="s">
        <v>22</v>
      </c>
      <c r="J275" s="24" t="s">
        <v>10</v>
      </c>
      <c r="K275" s="24" t="s">
        <v>102</v>
      </c>
      <c r="L275" s="24" t="s">
        <v>87</v>
      </c>
      <c r="M275" s="24" t="s">
        <v>86</v>
      </c>
      <c r="N275" s="24" t="s">
        <v>211</v>
      </c>
      <c r="O275" s="25" t="s">
        <v>208</v>
      </c>
      <c r="P275" s="112" t="s">
        <v>181</v>
      </c>
      <c r="Q275" s="24" t="s">
        <v>229</v>
      </c>
      <c r="R275" s="82">
        <f>Tabla1[[#This Row],[Origin Date ]]+3</f>
        <v>45848</v>
      </c>
      <c r="S275" s="2">
        <v>45846</v>
      </c>
      <c r="T275" s="83">
        <f t="shared" si="57"/>
        <v>-2</v>
      </c>
      <c r="U275" s="35" t="str">
        <f t="shared" si="54"/>
        <v>Realizada a Tiempo</v>
      </c>
      <c r="V275" s="24" t="str">
        <f t="shared" si="51"/>
        <v>Cerrada</v>
      </c>
      <c r="W275" s="51">
        <v>1</v>
      </c>
      <c r="X275" s="54"/>
      <c r="Y275" s="102"/>
      <c r="Z275" s="36"/>
      <c r="AA275" s="36"/>
      <c r="AB275" s="52">
        <f>Tabla1[[#This Row],[Fecha de Entrega
End Date]]+$Z275</f>
        <v>45846</v>
      </c>
      <c r="AC275" s="44"/>
      <c r="AD275" s="53" t="s">
        <v>386</v>
      </c>
      <c r="AE275" s="37"/>
    </row>
    <row r="276" spans="1:31" ht="28.95" customHeight="1" x14ac:dyDescent="0.3">
      <c r="A276" s="103">
        <v>45848</v>
      </c>
      <c r="B276" s="111">
        <f t="shared" si="55"/>
        <v>272</v>
      </c>
      <c r="C276" s="22"/>
      <c r="D276" s="22"/>
      <c r="E276" s="21" t="s">
        <v>990</v>
      </c>
      <c r="F276" s="21" t="s">
        <v>990</v>
      </c>
      <c r="G276" s="81" t="s">
        <v>574</v>
      </c>
      <c r="H276" s="127" t="str">
        <f t="shared" si="56"/>
        <v>ATENDIDO</v>
      </c>
      <c r="I276" s="24" t="s">
        <v>61</v>
      </c>
      <c r="J276" s="24" t="s">
        <v>10</v>
      </c>
      <c r="K276" s="24" t="s">
        <v>116</v>
      </c>
      <c r="L276" s="24" t="s">
        <v>87</v>
      </c>
      <c r="M276" s="24" t="s">
        <v>86</v>
      </c>
      <c r="N276" s="24" t="s">
        <v>209</v>
      </c>
      <c r="O276" s="25" t="s">
        <v>208</v>
      </c>
      <c r="P276" s="112" t="s">
        <v>73</v>
      </c>
      <c r="Q276" s="24" t="s">
        <v>229</v>
      </c>
      <c r="R276" s="82">
        <f>Tabla1[[#This Row],[Origin Date ]]+3</f>
        <v>45851</v>
      </c>
      <c r="S276" s="2">
        <v>45848</v>
      </c>
      <c r="T276" s="83">
        <f t="shared" si="57"/>
        <v>-3</v>
      </c>
      <c r="U276" s="35" t="str">
        <f t="shared" si="54"/>
        <v>Realizada a Tiempo</v>
      </c>
      <c r="V276" s="24" t="str">
        <f t="shared" si="51"/>
        <v>Cerrada</v>
      </c>
      <c r="W276" s="51">
        <v>1</v>
      </c>
      <c r="X276" s="54"/>
      <c r="Y276" s="102"/>
      <c r="Z276" s="36"/>
      <c r="AA276" s="36"/>
      <c r="AB276" s="52">
        <f>Tabla1[[#This Row],[Fecha de Entrega
End Date]]+$Z276</f>
        <v>45848</v>
      </c>
      <c r="AC276" s="44"/>
      <c r="AD276" s="53" t="s">
        <v>386</v>
      </c>
      <c r="AE276" s="37"/>
    </row>
    <row r="277" spans="1:31" ht="35.4" customHeight="1" x14ac:dyDescent="0.3">
      <c r="A277" s="103">
        <v>45848</v>
      </c>
      <c r="B277" s="111">
        <f t="shared" si="55"/>
        <v>273</v>
      </c>
      <c r="C277" s="22"/>
      <c r="D277" s="22"/>
      <c r="E277" s="21" t="s">
        <v>991</v>
      </c>
      <c r="F277" s="21" t="s">
        <v>991</v>
      </c>
      <c r="G277" s="81" t="s">
        <v>992</v>
      </c>
      <c r="H277" s="127" t="str">
        <f t="shared" si="56"/>
        <v>ATENDIDO</v>
      </c>
      <c r="I277" s="24" t="s">
        <v>20</v>
      </c>
      <c r="J277" s="24" t="s">
        <v>10</v>
      </c>
      <c r="K277" s="24" t="s">
        <v>118</v>
      </c>
      <c r="L277" s="24" t="s">
        <v>87</v>
      </c>
      <c r="M277" s="24" t="s">
        <v>86</v>
      </c>
      <c r="N277" s="24" t="s">
        <v>209</v>
      </c>
      <c r="O277" s="25" t="s">
        <v>208</v>
      </c>
      <c r="P277" s="112" t="s">
        <v>967</v>
      </c>
      <c r="Q277" s="24" t="s">
        <v>229</v>
      </c>
      <c r="R277" s="82">
        <f>Tabla1[[#This Row],[Origin Date ]]+3</f>
        <v>45851</v>
      </c>
      <c r="S277" s="2">
        <v>45852</v>
      </c>
      <c r="T277" s="83">
        <f t="shared" si="57"/>
        <v>1</v>
      </c>
      <c r="U277" s="35" t="str">
        <f t="shared" si="54"/>
        <v>Realizada a Tiempo</v>
      </c>
      <c r="V277" s="24" t="str">
        <f t="shared" si="51"/>
        <v>Cerrada</v>
      </c>
      <c r="W277" s="51">
        <v>1</v>
      </c>
      <c r="X277" s="54"/>
      <c r="Y277" s="102" t="s">
        <v>58</v>
      </c>
      <c r="Z277" s="36">
        <v>30</v>
      </c>
      <c r="AA277" s="36" t="s">
        <v>52</v>
      </c>
      <c r="AB277" s="52">
        <f>Tabla1[[#This Row],[Fecha de Entrega
End Date]]+$Z277</f>
        <v>45882</v>
      </c>
      <c r="AC277" s="44"/>
      <c r="AD277" s="53" t="s">
        <v>386</v>
      </c>
      <c r="AE277" s="37"/>
    </row>
    <row r="278" spans="1:31" ht="24.6" customHeight="1" x14ac:dyDescent="0.3">
      <c r="A278" s="103">
        <v>45848</v>
      </c>
      <c r="B278" s="111">
        <f t="shared" si="55"/>
        <v>274</v>
      </c>
      <c r="C278" s="22"/>
      <c r="D278" s="22"/>
      <c r="E278" s="21" t="s">
        <v>993</v>
      </c>
      <c r="F278" s="21" t="s">
        <v>993</v>
      </c>
      <c r="G278" s="81" t="s">
        <v>540</v>
      </c>
      <c r="H278" s="127" t="str">
        <f t="shared" si="56"/>
        <v>ATENDIDO</v>
      </c>
      <c r="I278" s="24" t="s">
        <v>61</v>
      </c>
      <c r="J278" s="24" t="s">
        <v>10</v>
      </c>
      <c r="K278" s="24" t="s">
        <v>120</v>
      </c>
      <c r="L278" s="24" t="s">
        <v>87</v>
      </c>
      <c r="M278" s="24" t="s">
        <v>86</v>
      </c>
      <c r="N278" s="24" t="s">
        <v>209</v>
      </c>
      <c r="O278" s="25" t="s">
        <v>208</v>
      </c>
      <c r="P278" s="112" t="s">
        <v>413</v>
      </c>
      <c r="Q278" s="24" t="s">
        <v>229</v>
      </c>
      <c r="R278" s="82">
        <f>Tabla1[[#This Row],[Origin Date ]]+3</f>
        <v>45851</v>
      </c>
      <c r="S278" s="2">
        <v>45854</v>
      </c>
      <c r="T278" s="83">
        <f t="shared" si="57"/>
        <v>3</v>
      </c>
      <c r="U278" s="35" t="str">
        <f t="shared" si="54"/>
        <v>Realizada a Tiempo</v>
      </c>
      <c r="V278" s="24" t="str">
        <f t="shared" si="51"/>
        <v>Cerrada</v>
      </c>
      <c r="W278" s="51">
        <v>0.8</v>
      </c>
      <c r="X278" s="54" t="s">
        <v>994</v>
      </c>
      <c r="Y278" s="102" t="s">
        <v>58</v>
      </c>
      <c r="Z278" s="36">
        <v>30</v>
      </c>
      <c r="AA278" s="36"/>
      <c r="AB278" s="52">
        <f>Tabla1[[#This Row],[Fecha de Entrega
End Date]]+$Z278</f>
        <v>45884</v>
      </c>
      <c r="AC278" s="44"/>
      <c r="AD278" s="53" t="s">
        <v>386</v>
      </c>
      <c r="AE278" s="37" t="s">
        <v>995</v>
      </c>
    </row>
    <row r="279" spans="1:31" ht="24.6" customHeight="1" x14ac:dyDescent="0.3">
      <c r="A279" s="103">
        <v>45849</v>
      </c>
      <c r="B279" s="111">
        <f t="shared" si="55"/>
        <v>275</v>
      </c>
      <c r="C279" s="22"/>
      <c r="D279" s="22"/>
      <c r="E279" s="21" t="s">
        <v>996</v>
      </c>
      <c r="F279" s="21" t="s">
        <v>996</v>
      </c>
      <c r="G279" s="81" t="s">
        <v>760</v>
      </c>
      <c r="H279" s="127" t="str">
        <f t="shared" si="56"/>
        <v>ATENDIDO</v>
      </c>
      <c r="I279" s="24" t="s">
        <v>22</v>
      </c>
      <c r="J279" s="24" t="s">
        <v>10</v>
      </c>
      <c r="K279" s="24" t="s">
        <v>102</v>
      </c>
      <c r="L279" s="24" t="s">
        <v>87</v>
      </c>
      <c r="M279" s="24" t="s">
        <v>86</v>
      </c>
      <c r="N279" s="24" t="s">
        <v>211</v>
      </c>
      <c r="O279" s="25" t="s">
        <v>208</v>
      </c>
      <c r="P279" s="112" t="s">
        <v>181</v>
      </c>
      <c r="Q279" s="24" t="s">
        <v>229</v>
      </c>
      <c r="R279" s="82">
        <f>Tabla1[[#This Row],[Origin Date ]]+3</f>
        <v>45852</v>
      </c>
      <c r="S279" s="2">
        <v>45854</v>
      </c>
      <c r="T279" s="83">
        <f t="shared" si="57"/>
        <v>2</v>
      </c>
      <c r="U279" s="35" t="str">
        <f t="shared" si="54"/>
        <v>Realizada a Tiempo</v>
      </c>
      <c r="V279" s="24" t="str">
        <f t="shared" si="51"/>
        <v>Cerrada</v>
      </c>
      <c r="W279" s="51">
        <v>1</v>
      </c>
      <c r="X279" s="54"/>
      <c r="Y279" s="102"/>
      <c r="Z279" s="36"/>
      <c r="AA279" s="36"/>
      <c r="AB279" s="52">
        <f>Tabla1[[#This Row],[Fecha de Entrega
End Date]]+$Z279</f>
        <v>45854</v>
      </c>
      <c r="AC279" s="44"/>
      <c r="AD279" s="53" t="s">
        <v>386</v>
      </c>
      <c r="AE279" s="37"/>
    </row>
    <row r="280" spans="1:31" ht="34.950000000000003" customHeight="1" x14ac:dyDescent="0.3">
      <c r="A280" s="103">
        <v>45849</v>
      </c>
      <c r="B280" s="111">
        <f t="shared" si="55"/>
        <v>276</v>
      </c>
      <c r="C280" s="22"/>
      <c r="D280" s="22"/>
      <c r="E280" s="21" t="s">
        <v>997</v>
      </c>
      <c r="F280" s="21" t="s">
        <v>997</v>
      </c>
      <c r="G280" s="81" t="s">
        <v>537</v>
      </c>
      <c r="H280" s="127" t="str">
        <f t="shared" si="56"/>
        <v>ATENDIDO</v>
      </c>
      <c r="I280" s="24" t="s">
        <v>21</v>
      </c>
      <c r="J280" s="24" t="s">
        <v>10</v>
      </c>
      <c r="K280" s="24" t="s">
        <v>124</v>
      </c>
      <c r="L280" s="24" t="s">
        <v>87</v>
      </c>
      <c r="M280" s="24" t="s">
        <v>86</v>
      </c>
      <c r="N280" s="24" t="s">
        <v>185</v>
      </c>
      <c r="O280" s="25" t="s">
        <v>208</v>
      </c>
      <c r="P280" s="112" t="s">
        <v>181</v>
      </c>
      <c r="Q280" s="24" t="s">
        <v>229</v>
      </c>
      <c r="R280" s="82">
        <f>Tabla1[[#This Row],[Origin Date ]]+3</f>
        <v>45852</v>
      </c>
      <c r="S280" s="2">
        <v>45849</v>
      </c>
      <c r="T280" s="83">
        <f t="shared" si="57"/>
        <v>-3</v>
      </c>
      <c r="U280" s="35" t="str">
        <f t="shared" si="54"/>
        <v>Realizada a Tiempo</v>
      </c>
      <c r="V280" s="24" t="str">
        <f t="shared" si="51"/>
        <v>Cerrada</v>
      </c>
      <c r="W280" s="51">
        <v>1</v>
      </c>
      <c r="X280" s="54"/>
      <c r="Y280" s="102" t="s">
        <v>58</v>
      </c>
      <c r="Z280" s="36">
        <v>7</v>
      </c>
      <c r="AA280" s="36" t="s">
        <v>51</v>
      </c>
      <c r="AB280" s="52">
        <f>Tabla1[[#This Row],[Fecha de Entrega
End Date]]+$Z280</f>
        <v>45856</v>
      </c>
      <c r="AC280" s="44"/>
      <c r="AD280" s="53" t="s">
        <v>386</v>
      </c>
      <c r="AE280" s="37"/>
    </row>
    <row r="281" spans="1:31" ht="24.6" customHeight="1" x14ac:dyDescent="0.3">
      <c r="A281" s="103">
        <v>45849</v>
      </c>
      <c r="B281" s="111">
        <f t="shared" si="55"/>
        <v>277</v>
      </c>
      <c r="C281" s="22"/>
      <c r="D281" s="22"/>
      <c r="E281" s="21" t="s">
        <v>998</v>
      </c>
      <c r="F281" s="21" t="s">
        <v>998</v>
      </c>
      <c r="G281" s="81" t="s">
        <v>537</v>
      </c>
      <c r="H281" s="127" t="str">
        <f t="shared" si="56"/>
        <v>ATENDIDO</v>
      </c>
      <c r="I281" s="24" t="s">
        <v>21</v>
      </c>
      <c r="J281" s="24" t="s">
        <v>10</v>
      </c>
      <c r="K281" s="24" t="s">
        <v>124</v>
      </c>
      <c r="L281" s="24" t="s">
        <v>87</v>
      </c>
      <c r="M281" s="24" t="s">
        <v>86</v>
      </c>
      <c r="N281" s="24" t="s">
        <v>185</v>
      </c>
      <c r="O281" s="25" t="s">
        <v>208</v>
      </c>
      <c r="P281" s="112" t="s">
        <v>181</v>
      </c>
      <c r="Q281" s="24" t="s">
        <v>93</v>
      </c>
      <c r="R281" s="82">
        <f>Tabla1[[#This Row],[Origin Date ]]+3</f>
        <v>45852</v>
      </c>
      <c r="S281" s="2">
        <v>45852</v>
      </c>
      <c r="T281" s="83">
        <f t="shared" si="57"/>
        <v>0</v>
      </c>
      <c r="U281" s="35" t="str">
        <f t="shared" si="54"/>
        <v>Realizada a Tiempo</v>
      </c>
      <c r="V281" s="24" t="str">
        <f t="shared" si="51"/>
        <v>Cerrada</v>
      </c>
      <c r="W281" s="51">
        <v>1</v>
      </c>
      <c r="X281" s="54"/>
      <c r="Y281" s="102" t="s">
        <v>452</v>
      </c>
      <c r="Z281" s="36"/>
      <c r="AA281" s="36"/>
      <c r="AB281" s="52">
        <f>Tabla1[[#This Row],[Fecha de Entrega
End Date]]+$Z281</f>
        <v>45852</v>
      </c>
      <c r="AC281" s="44"/>
      <c r="AD281" s="53" t="s">
        <v>386</v>
      </c>
      <c r="AE281" s="37" t="s">
        <v>999</v>
      </c>
    </row>
    <row r="282" spans="1:31" ht="30" customHeight="1" x14ac:dyDescent="0.3">
      <c r="A282" s="103">
        <v>45852</v>
      </c>
      <c r="B282" s="111">
        <f t="shared" si="55"/>
        <v>278</v>
      </c>
      <c r="C282" s="22"/>
      <c r="D282" s="22"/>
      <c r="E282" s="21" t="s">
        <v>1000</v>
      </c>
      <c r="F282" s="21" t="s">
        <v>1000</v>
      </c>
      <c r="G282" s="81" t="s">
        <v>975</v>
      </c>
      <c r="H282" s="127" t="str">
        <f t="shared" si="56"/>
        <v>ATENDIDO</v>
      </c>
      <c r="I282" s="24" t="s">
        <v>20</v>
      </c>
      <c r="J282" s="24" t="s">
        <v>10</v>
      </c>
      <c r="K282" s="24" t="s">
        <v>127</v>
      </c>
      <c r="L282" s="24" t="s">
        <v>87</v>
      </c>
      <c r="M282" s="24" t="s">
        <v>86</v>
      </c>
      <c r="N282" s="24" t="s">
        <v>185</v>
      </c>
      <c r="O282" s="25" t="s">
        <v>208</v>
      </c>
      <c r="P282" s="112" t="s">
        <v>972</v>
      </c>
      <c r="Q282" s="24" t="s">
        <v>229</v>
      </c>
      <c r="R282" s="82">
        <f>Tabla1[[#This Row],[Origin Date ]]+3</f>
        <v>45855</v>
      </c>
      <c r="S282" s="2">
        <v>45853</v>
      </c>
      <c r="T282" s="83">
        <f t="shared" si="57"/>
        <v>-2</v>
      </c>
      <c r="U282" s="35" t="str">
        <f t="shared" si="54"/>
        <v>Realizada a Tiempo</v>
      </c>
      <c r="V282" s="24" t="str">
        <f t="shared" si="51"/>
        <v>Cerrada</v>
      </c>
      <c r="W282" s="51">
        <v>1</v>
      </c>
      <c r="X282" s="54"/>
      <c r="Y282" s="102" t="s">
        <v>58</v>
      </c>
      <c r="Z282" s="36">
        <v>30</v>
      </c>
      <c r="AA282" s="36" t="s">
        <v>52</v>
      </c>
      <c r="AB282" s="52">
        <f>Tabla1[[#This Row],[Fecha de Entrega
End Date]]+$Z282</f>
        <v>45883</v>
      </c>
      <c r="AC282" s="44"/>
      <c r="AD282" s="53" t="s">
        <v>386</v>
      </c>
      <c r="AE282" s="37"/>
    </row>
    <row r="283" spans="1:31" ht="26.4" customHeight="1" x14ac:dyDescent="0.3">
      <c r="A283" s="103">
        <v>45852</v>
      </c>
      <c r="B283" s="111">
        <f t="shared" si="55"/>
        <v>279</v>
      </c>
      <c r="C283" s="22"/>
      <c r="D283" s="22"/>
      <c r="E283" s="21" t="s">
        <v>1001</v>
      </c>
      <c r="F283" s="21" t="s">
        <v>1001</v>
      </c>
      <c r="G283" s="81" t="s">
        <v>992</v>
      </c>
      <c r="H283" s="127" t="str">
        <f t="shared" si="56"/>
        <v>ALTA</v>
      </c>
      <c r="I283" s="24" t="s">
        <v>20</v>
      </c>
      <c r="J283" s="24" t="s">
        <v>10</v>
      </c>
      <c r="K283" s="24" t="s">
        <v>118</v>
      </c>
      <c r="L283" s="24" t="s">
        <v>87</v>
      </c>
      <c r="M283" s="24" t="s">
        <v>86</v>
      </c>
      <c r="N283" s="24" t="s">
        <v>209</v>
      </c>
      <c r="O283" s="25" t="s">
        <v>208</v>
      </c>
      <c r="P283" s="112" t="s">
        <v>967</v>
      </c>
      <c r="Q283" s="24" t="s">
        <v>93</v>
      </c>
      <c r="R283" s="82">
        <f>Tabla1[[#This Row],[Origin Date ]]+3</f>
        <v>45855</v>
      </c>
      <c r="S283" s="2"/>
      <c r="T283" s="83" t="str">
        <f t="shared" si="57"/>
        <v>-</v>
      </c>
      <c r="U283" s="35" t="str">
        <f t="shared" ca="1" si="54"/>
        <v>Atrasada</v>
      </c>
      <c r="V283" s="24" t="str">
        <f t="shared" ref="V283:V345" si="58">IF((R283=""),"",IF((S283=""),"Abierta","Cerrada"))</f>
        <v>Abierta</v>
      </c>
      <c r="W283" s="51">
        <v>0.2</v>
      </c>
      <c r="X283" s="54"/>
      <c r="Y283" s="102" t="s">
        <v>58</v>
      </c>
      <c r="Z283" s="36"/>
      <c r="AA283" s="36"/>
      <c r="AB283" s="52">
        <f>Tabla1[[#This Row],[Fecha de Entrega
End Date]]+$Z283</f>
        <v>0</v>
      </c>
      <c r="AC283" s="44"/>
      <c r="AD283" s="53" t="s">
        <v>243</v>
      </c>
      <c r="AE283" s="37"/>
    </row>
    <row r="284" spans="1:31" ht="40.200000000000003" customHeight="1" x14ac:dyDescent="0.3">
      <c r="A284" s="103">
        <v>45875</v>
      </c>
      <c r="B284" s="111">
        <f t="shared" si="55"/>
        <v>280</v>
      </c>
      <c r="C284" s="22"/>
      <c r="D284" s="22"/>
      <c r="E284" s="21" t="s">
        <v>1003</v>
      </c>
      <c r="F284" s="21" t="s">
        <v>1003</v>
      </c>
      <c r="G284" s="81" t="s">
        <v>985</v>
      </c>
      <c r="H284" s="127" t="str">
        <f t="shared" si="56"/>
        <v>ALTA</v>
      </c>
      <c r="I284" s="24" t="s">
        <v>61</v>
      </c>
      <c r="J284" s="24" t="s">
        <v>10</v>
      </c>
      <c r="K284" s="24" t="s">
        <v>102</v>
      </c>
      <c r="L284" s="24" t="s">
        <v>87</v>
      </c>
      <c r="M284" s="24" t="s">
        <v>86</v>
      </c>
      <c r="N284" s="24" t="s">
        <v>211</v>
      </c>
      <c r="O284" s="25" t="s">
        <v>208</v>
      </c>
      <c r="P284" s="112" t="s">
        <v>181</v>
      </c>
      <c r="Q284" s="24" t="s">
        <v>1002</v>
      </c>
      <c r="R284" s="82">
        <f>Tabla1[[#This Row],[Origin Date ]]+3</f>
        <v>45878</v>
      </c>
      <c r="S284" s="2"/>
      <c r="T284" s="83" t="str">
        <f t="shared" si="57"/>
        <v>-</v>
      </c>
      <c r="U284" s="35" t="str">
        <f t="shared" ca="1" si="54"/>
        <v>Atrasada</v>
      </c>
      <c r="V284" s="24" t="str">
        <f t="shared" si="58"/>
        <v>Abierta</v>
      </c>
      <c r="W284" s="51">
        <v>0.2</v>
      </c>
      <c r="X284" s="54"/>
      <c r="Y284" s="102" t="s">
        <v>58</v>
      </c>
      <c r="Z284" s="36"/>
      <c r="AA284" s="36"/>
      <c r="AB284" s="52">
        <f>Tabla1[[#This Row],[Fecha de Entrega
End Date]]+$Z284</f>
        <v>0</v>
      </c>
      <c r="AC284" s="44"/>
      <c r="AD284" s="53" t="s">
        <v>6</v>
      </c>
      <c r="AE284" s="37"/>
    </row>
    <row r="285" spans="1:31" ht="39.6" customHeight="1" x14ac:dyDescent="0.3">
      <c r="A285" s="103">
        <v>45853</v>
      </c>
      <c r="B285" s="111">
        <f t="shared" si="55"/>
        <v>281</v>
      </c>
      <c r="C285" s="22"/>
      <c r="D285" s="22"/>
      <c r="E285" s="21" t="s">
        <v>1004</v>
      </c>
      <c r="F285" s="21" t="s">
        <v>1004</v>
      </c>
      <c r="G285" s="81" t="s">
        <v>574</v>
      </c>
      <c r="H285" s="127" t="str">
        <f t="shared" si="56"/>
        <v>ATENDIDO</v>
      </c>
      <c r="I285" s="24" t="s">
        <v>61</v>
      </c>
      <c r="J285" s="24" t="s">
        <v>10</v>
      </c>
      <c r="K285" s="22" t="s">
        <v>116</v>
      </c>
      <c r="L285" s="24" t="s">
        <v>87</v>
      </c>
      <c r="M285" s="24" t="s">
        <v>86</v>
      </c>
      <c r="N285" s="24" t="s">
        <v>209</v>
      </c>
      <c r="O285" s="25" t="s">
        <v>208</v>
      </c>
      <c r="P285" s="112" t="s">
        <v>73</v>
      </c>
      <c r="Q285" s="24" t="s">
        <v>93</v>
      </c>
      <c r="R285" s="82">
        <f>Tabla1[[#This Row],[Origin Date ]]+3</f>
        <v>45856</v>
      </c>
      <c r="S285" s="2">
        <v>45855</v>
      </c>
      <c r="T285" s="83">
        <f t="shared" si="57"/>
        <v>-1</v>
      </c>
      <c r="U285" s="35" t="str">
        <f t="shared" si="54"/>
        <v>Realizada a Tiempo</v>
      </c>
      <c r="V285" s="24" t="str">
        <f t="shared" si="58"/>
        <v>Cerrada</v>
      </c>
      <c r="W285" s="51">
        <v>1</v>
      </c>
      <c r="X285" s="54" t="s">
        <v>1007</v>
      </c>
      <c r="Y285" s="102" t="s">
        <v>58</v>
      </c>
      <c r="Z285" s="36">
        <v>30</v>
      </c>
      <c r="AA285" s="36" t="s">
        <v>52</v>
      </c>
      <c r="AB285" s="52">
        <f>Tabla1[[#This Row],[Fecha de Entrega
End Date]]+$Z285</f>
        <v>45885</v>
      </c>
      <c r="AC285" s="44"/>
      <c r="AD285" s="53" t="s">
        <v>386</v>
      </c>
      <c r="AE285" s="37"/>
    </row>
    <row r="286" spans="1:31" ht="28.2" customHeight="1" x14ac:dyDescent="0.3">
      <c r="A286" s="103">
        <v>45853</v>
      </c>
      <c r="B286" s="111">
        <f t="shared" si="55"/>
        <v>282</v>
      </c>
      <c r="C286" s="22"/>
      <c r="D286" s="22"/>
      <c r="E286" s="21" t="s">
        <v>1005</v>
      </c>
      <c r="F286" s="21" t="s">
        <v>1005</v>
      </c>
      <c r="G286" s="81" t="s">
        <v>574</v>
      </c>
      <c r="H286" s="127" t="str">
        <f t="shared" si="56"/>
        <v>ATENDIDO</v>
      </c>
      <c r="I286" s="24" t="s">
        <v>61</v>
      </c>
      <c r="J286" s="24" t="s">
        <v>10</v>
      </c>
      <c r="K286" s="22" t="s">
        <v>116</v>
      </c>
      <c r="L286" s="24" t="s">
        <v>87</v>
      </c>
      <c r="M286" s="24" t="s">
        <v>86</v>
      </c>
      <c r="N286" s="24" t="s">
        <v>209</v>
      </c>
      <c r="O286" s="25" t="s">
        <v>208</v>
      </c>
      <c r="P286" s="112" t="s">
        <v>73</v>
      </c>
      <c r="Q286" s="24" t="s">
        <v>1002</v>
      </c>
      <c r="R286" s="82">
        <f>Tabla1[[#This Row],[Origin Date ]]+3</f>
        <v>45856</v>
      </c>
      <c r="S286" s="2">
        <v>45855</v>
      </c>
      <c r="T286" s="83">
        <f t="shared" si="57"/>
        <v>-1</v>
      </c>
      <c r="U286" s="35" t="str">
        <f t="shared" si="54"/>
        <v>Realizada a Tiempo</v>
      </c>
      <c r="V286" s="24" t="str">
        <f t="shared" si="58"/>
        <v>Cerrada</v>
      </c>
      <c r="W286" s="51">
        <v>1</v>
      </c>
      <c r="X286" s="54" t="s">
        <v>1008</v>
      </c>
      <c r="Y286" s="102" t="s">
        <v>58</v>
      </c>
      <c r="Z286" s="36">
        <v>30</v>
      </c>
      <c r="AA286" s="36" t="s">
        <v>52</v>
      </c>
      <c r="AB286" s="52">
        <f>Tabla1[[#This Row],[Fecha de Entrega
End Date]]+$Z286</f>
        <v>45885</v>
      </c>
      <c r="AC286" s="44"/>
      <c r="AD286" s="53" t="s">
        <v>386</v>
      </c>
      <c r="AE286" s="37"/>
    </row>
    <row r="287" spans="1:31" ht="32.4" customHeight="1" x14ac:dyDescent="0.3">
      <c r="A287" s="103">
        <v>45853</v>
      </c>
      <c r="B287" s="111">
        <f t="shared" si="55"/>
        <v>283</v>
      </c>
      <c r="C287" s="22"/>
      <c r="D287" s="22"/>
      <c r="E287" s="21" t="s">
        <v>1006</v>
      </c>
      <c r="F287" s="21" t="s">
        <v>1006</v>
      </c>
      <c r="G287" s="81" t="s">
        <v>574</v>
      </c>
      <c r="H287" s="127" t="str">
        <f t="shared" si="56"/>
        <v>ATENDIDO</v>
      </c>
      <c r="I287" s="24" t="s">
        <v>61</v>
      </c>
      <c r="J287" s="24" t="s">
        <v>10</v>
      </c>
      <c r="K287" s="24" t="s">
        <v>116</v>
      </c>
      <c r="L287" s="24" t="s">
        <v>87</v>
      </c>
      <c r="M287" s="24" t="s">
        <v>86</v>
      </c>
      <c r="N287" s="24" t="s">
        <v>209</v>
      </c>
      <c r="O287" s="25" t="s">
        <v>208</v>
      </c>
      <c r="P287" s="112" t="s">
        <v>73</v>
      </c>
      <c r="Q287" s="24" t="s">
        <v>1002</v>
      </c>
      <c r="R287" s="82">
        <f>Tabla1[[#This Row],[Origin Date ]]+3</f>
        <v>45856</v>
      </c>
      <c r="S287" s="2">
        <v>45855</v>
      </c>
      <c r="T287" s="83">
        <f t="shared" si="57"/>
        <v>-1</v>
      </c>
      <c r="U287" s="35" t="str">
        <f t="shared" si="54"/>
        <v>Realizada a Tiempo</v>
      </c>
      <c r="V287" s="24" t="str">
        <f t="shared" si="58"/>
        <v>Cerrada</v>
      </c>
      <c r="W287" s="51">
        <v>1</v>
      </c>
      <c r="X287" s="54" t="s">
        <v>1009</v>
      </c>
      <c r="Y287" s="102" t="s">
        <v>58</v>
      </c>
      <c r="Z287" s="36">
        <v>30</v>
      </c>
      <c r="AA287" s="36" t="s">
        <v>52</v>
      </c>
      <c r="AB287" s="52">
        <f>Tabla1[[#This Row],[Fecha de Entrega
End Date]]+$Z287</f>
        <v>45885</v>
      </c>
      <c r="AC287" s="44"/>
      <c r="AD287" s="53" t="s">
        <v>386</v>
      </c>
      <c r="AE287" s="37"/>
    </row>
    <row r="288" spans="1:31" ht="36" customHeight="1" x14ac:dyDescent="0.3">
      <c r="A288" s="103">
        <v>45850</v>
      </c>
      <c r="B288" s="111">
        <f t="shared" si="55"/>
        <v>284</v>
      </c>
      <c r="C288" s="22"/>
      <c r="D288" s="22"/>
      <c r="E288" s="21" t="s">
        <v>1010</v>
      </c>
      <c r="F288" s="21" t="s">
        <v>1010</v>
      </c>
      <c r="G288" s="81" t="s">
        <v>760</v>
      </c>
      <c r="H288" s="127" t="str">
        <f t="shared" si="56"/>
        <v>ATENDIDO</v>
      </c>
      <c r="I288" s="24" t="s">
        <v>22</v>
      </c>
      <c r="J288" s="24" t="s">
        <v>10</v>
      </c>
      <c r="K288" s="24" t="s">
        <v>102</v>
      </c>
      <c r="L288" s="24" t="s">
        <v>87</v>
      </c>
      <c r="M288" s="24" t="s">
        <v>86</v>
      </c>
      <c r="N288" s="24" t="s">
        <v>211</v>
      </c>
      <c r="O288" s="25" t="s">
        <v>208</v>
      </c>
      <c r="P288" s="112" t="s">
        <v>181</v>
      </c>
      <c r="Q288" s="24" t="s">
        <v>229</v>
      </c>
      <c r="R288" s="82">
        <f>Tabla1[[#This Row],[Origin Date ]]+3</f>
        <v>45853</v>
      </c>
      <c r="S288" s="2">
        <v>45852</v>
      </c>
      <c r="T288" s="83">
        <f t="shared" si="57"/>
        <v>-1</v>
      </c>
      <c r="U288" s="35" t="str">
        <f t="shared" si="54"/>
        <v>Realizada a Tiempo</v>
      </c>
      <c r="V288" s="24" t="str">
        <f t="shared" si="58"/>
        <v>Cerrada</v>
      </c>
      <c r="W288" s="51">
        <v>1</v>
      </c>
      <c r="X288" s="54"/>
      <c r="Y288" s="102" t="s">
        <v>58</v>
      </c>
      <c r="Z288" s="36">
        <v>30</v>
      </c>
      <c r="AA288" s="36" t="s">
        <v>51</v>
      </c>
      <c r="AB288" s="52">
        <f>Tabla1[[#This Row],[Fecha de Entrega
End Date]]+$Z288</f>
        <v>45882</v>
      </c>
      <c r="AC288" s="44"/>
      <c r="AD288" s="53" t="s">
        <v>386</v>
      </c>
      <c r="AE288" s="37"/>
    </row>
    <row r="289" spans="1:31" ht="37.950000000000003" customHeight="1" x14ac:dyDescent="0.3">
      <c r="A289" s="103">
        <v>45853</v>
      </c>
      <c r="B289" s="111">
        <f t="shared" si="55"/>
        <v>285</v>
      </c>
      <c r="C289" s="22"/>
      <c r="D289" s="22"/>
      <c r="E289" s="21" t="s">
        <v>1012</v>
      </c>
      <c r="F289" s="21" t="s">
        <v>1012</v>
      </c>
      <c r="G289" s="81" t="s">
        <v>760</v>
      </c>
      <c r="H289" s="127" t="str">
        <f t="shared" si="56"/>
        <v>ATENDIDO</v>
      </c>
      <c r="I289" s="24" t="s">
        <v>22</v>
      </c>
      <c r="J289" s="24" t="s">
        <v>10</v>
      </c>
      <c r="K289" s="24" t="s">
        <v>102</v>
      </c>
      <c r="L289" s="24" t="s">
        <v>87</v>
      </c>
      <c r="M289" s="24" t="s">
        <v>86</v>
      </c>
      <c r="N289" s="24" t="s">
        <v>211</v>
      </c>
      <c r="O289" s="25" t="s">
        <v>208</v>
      </c>
      <c r="P289" s="112" t="s">
        <v>181</v>
      </c>
      <c r="Q289" s="24" t="s">
        <v>229</v>
      </c>
      <c r="R289" s="82">
        <f>Tabla1[[#This Row],[Origin Date ]]+3</f>
        <v>45856</v>
      </c>
      <c r="S289" s="2">
        <v>45853</v>
      </c>
      <c r="T289" s="83">
        <f t="shared" si="57"/>
        <v>-3</v>
      </c>
      <c r="U289" s="35" t="str">
        <f t="shared" si="54"/>
        <v>Realizada a Tiempo</v>
      </c>
      <c r="V289" s="24" t="str">
        <f t="shared" si="58"/>
        <v>Cerrada</v>
      </c>
      <c r="W289" s="51">
        <v>1</v>
      </c>
      <c r="X289" s="54"/>
      <c r="Y289" s="102" t="s">
        <v>58</v>
      </c>
      <c r="Z289" s="36">
        <v>30</v>
      </c>
      <c r="AA289" s="36" t="s">
        <v>51</v>
      </c>
      <c r="AB289" s="52">
        <f>Tabla1[[#This Row],[Fecha de Entrega
End Date]]+$Z289</f>
        <v>45883</v>
      </c>
      <c r="AC289" s="44"/>
      <c r="AD289" s="53" t="s">
        <v>386</v>
      </c>
      <c r="AE289" s="37"/>
    </row>
    <row r="290" spans="1:31" ht="33" customHeight="1" x14ac:dyDescent="0.3">
      <c r="A290" s="103">
        <v>45853</v>
      </c>
      <c r="B290" s="111">
        <f t="shared" si="55"/>
        <v>286</v>
      </c>
      <c r="C290" s="22"/>
      <c r="D290" s="22"/>
      <c r="E290" s="21" t="s">
        <v>1014</v>
      </c>
      <c r="F290" s="21" t="s">
        <v>1014</v>
      </c>
      <c r="G290" s="81" t="s">
        <v>760</v>
      </c>
      <c r="H290" s="127" t="str">
        <f t="shared" si="56"/>
        <v>ATENDIDO</v>
      </c>
      <c r="I290" s="24" t="s">
        <v>22</v>
      </c>
      <c r="J290" s="24" t="s">
        <v>10</v>
      </c>
      <c r="K290" s="24" t="s">
        <v>102</v>
      </c>
      <c r="L290" s="24" t="s">
        <v>87</v>
      </c>
      <c r="M290" s="24" t="s">
        <v>86</v>
      </c>
      <c r="N290" s="24" t="s">
        <v>211</v>
      </c>
      <c r="O290" s="25" t="s">
        <v>208</v>
      </c>
      <c r="P290" s="112" t="s">
        <v>181</v>
      </c>
      <c r="Q290" s="24" t="s">
        <v>229</v>
      </c>
      <c r="R290" s="82">
        <f>Tabla1[[#This Row],[Origin Date ]]+3</f>
        <v>45856</v>
      </c>
      <c r="S290" s="2">
        <v>45859</v>
      </c>
      <c r="T290" s="83">
        <f t="shared" si="57"/>
        <v>3</v>
      </c>
      <c r="U290" s="35" t="str">
        <f t="shared" si="54"/>
        <v>Realizada a Tiempo</v>
      </c>
      <c r="V290" s="24" t="str">
        <f t="shared" si="58"/>
        <v>Cerrada</v>
      </c>
      <c r="W290" s="51">
        <v>1</v>
      </c>
      <c r="X290" s="54"/>
      <c r="Y290" s="102" t="s">
        <v>58</v>
      </c>
      <c r="Z290" s="36">
        <v>30</v>
      </c>
      <c r="AA290" s="36" t="s">
        <v>51</v>
      </c>
      <c r="AB290" s="52">
        <f>Tabla1[[#This Row],[Fecha de Entrega
End Date]]+$Z290</f>
        <v>45889</v>
      </c>
      <c r="AC290" s="44"/>
      <c r="AD290" s="53" t="s">
        <v>386</v>
      </c>
      <c r="AE290" s="37"/>
    </row>
    <row r="291" spans="1:31" ht="37.950000000000003" customHeight="1" x14ac:dyDescent="0.3">
      <c r="A291" s="103">
        <v>45854</v>
      </c>
      <c r="B291" s="111">
        <f t="shared" ref="B291:B316" si="59">IF(A291&lt;&gt;"",1+B290,"")</f>
        <v>287</v>
      </c>
      <c r="C291" s="22"/>
      <c r="D291" s="22"/>
      <c r="E291" s="21" t="s">
        <v>1013</v>
      </c>
      <c r="F291" s="21" t="s">
        <v>1013</v>
      </c>
      <c r="G291" s="81" t="s">
        <v>760</v>
      </c>
      <c r="H291" s="127" t="str">
        <f t="shared" si="56"/>
        <v>ATENDIDO</v>
      </c>
      <c r="I291" s="24" t="s">
        <v>22</v>
      </c>
      <c r="J291" s="24" t="s">
        <v>10</v>
      </c>
      <c r="K291" s="24" t="s">
        <v>102</v>
      </c>
      <c r="L291" s="24" t="s">
        <v>87</v>
      </c>
      <c r="M291" s="24" t="s">
        <v>86</v>
      </c>
      <c r="N291" s="24" t="s">
        <v>211</v>
      </c>
      <c r="O291" s="25" t="s">
        <v>208</v>
      </c>
      <c r="P291" s="112" t="s">
        <v>181</v>
      </c>
      <c r="Q291" s="24" t="s">
        <v>229</v>
      </c>
      <c r="R291" s="82">
        <f>Tabla1[[#This Row],[Origin Date ]]+3</f>
        <v>45857</v>
      </c>
      <c r="S291" s="2">
        <v>45854</v>
      </c>
      <c r="T291" s="83">
        <f t="shared" ref="T291:T316" si="60">IF((R291=""),"",IF((V291="Cerrada"),(S291-R291),IF((($AA$2-R291)&lt;=0),"-",($AA$2-R291))))</f>
        <v>-3</v>
      </c>
      <c r="U291" s="35" t="str">
        <f t="shared" si="54"/>
        <v>Realizada a Tiempo</v>
      </c>
      <c r="V291" s="24" t="str">
        <f t="shared" si="58"/>
        <v>Cerrada</v>
      </c>
      <c r="W291" s="51">
        <v>1</v>
      </c>
      <c r="X291" s="54"/>
      <c r="Y291" s="102" t="s">
        <v>58</v>
      </c>
      <c r="Z291" s="36">
        <v>30</v>
      </c>
      <c r="AA291" s="36" t="s">
        <v>51</v>
      </c>
      <c r="AB291" s="52">
        <f>Tabla1[[#This Row],[Fecha de Entrega
End Date]]+$Z291</f>
        <v>45884</v>
      </c>
      <c r="AC291" s="44"/>
      <c r="AD291" s="53" t="s">
        <v>386</v>
      </c>
      <c r="AE291" s="37"/>
    </row>
    <row r="292" spans="1:31" ht="34.200000000000003" customHeight="1" x14ac:dyDescent="0.3">
      <c r="A292" s="103">
        <v>45854</v>
      </c>
      <c r="B292" s="111">
        <f t="shared" si="59"/>
        <v>288</v>
      </c>
      <c r="C292" s="22"/>
      <c r="D292" s="22"/>
      <c r="E292" s="21" t="s">
        <v>1015</v>
      </c>
      <c r="F292" s="21" t="s">
        <v>1015</v>
      </c>
      <c r="G292" s="81" t="s">
        <v>760</v>
      </c>
      <c r="H292" s="127" t="str">
        <f t="shared" si="56"/>
        <v>ATENDIDO</v>
      </c>
      <c r="I292" s="24" t="s">
        <v>22</v>
      </c>
      <c r="J292" s="24" t="s">
        <v>10</v>
      </c>
      <c r="K292" s="24" t="s">
        <v>102</v>
      </c>
      <c r="L292" s="24" t="s">
        <v>87</v>
      </c>
      <c r="M292" s="24" t="s">
        <v>86</v>
      </c>
      <c r="N292" s="24" t="s">
        <v>211</v>
      </c>
      <c r="O292" s="25" t="s">
        <v>208</v>
      </c>
      <c r="P292" s="112" t="s">
        <v>181</v>
      </c>
      <c r="Q292" s="24" t="s">
        <v>229</v>
      </c>
      <c r="R292" s="82">
        <f>Tabla1[[#This Row],[Origin Date ]]+3</f>
        <v>45857</v>
      </c>
      <c r="S292" s="2">
        <v>45860</v>
      </c>
      <c r="T292" s="83">
        <f t="shared" si="60"/>
        <v>3</v>
      </c>
      <c r="U292" s="35" t="str">
        <f t="shared" si="54"/>
        <v>Realizada a Tiempo</v>
      </c>
      <c r="V292" s="24" t="str">
        <f t="shared" si="58"/>
        <v>Cerrada</v>
      </c>
      <c r="W292" s="51">
        <v>1</v>
      </c>
      <c r="X292" s="54"/>
      <c r="Y292" s="102" t="s">
        <v>58</v>
      </c>
      <c r="Z292" s="36">
        <v>30</v>
      </c>
      <c r="AA292" s="36" t="s">
        <v>51</v>
      </c>
      <c r="AB292" s="52">
        <f>Tabla1[[#This Row],[Fecha de Entrega
End Date]]+$Z292</f>
        <v>45890</v>
      </c>
      <c r="AC292" s="44"/>
      <c r="AD292" s="53" t="s">
        <v>386</v>
      </c>
      <c r="AE292" s="37"/>
    </row>
    <row r="293" spans="1:31" ht="32.4" customHeight="1" x14ac:dyDescent="0.3">
      <c r="A293" s="103">
        <v>45854</v>
      </c>
      <c r="B293" s="111">
        <f t="shared" si="59"/>
        <v>289</v>
      </c>
      <c r="C293" s="22"/>
      <c r="D293" s="22"/>
      <c r="E293" s="21" t="s">
        <v>1016</v>
      </c>
      <c r="F293" s="21" t="s">
        <v>1016</v>
      </c>
      <c r="G293" s="81" t="s">
        <v>760</v>
      </c>
      <c r="H293" s="127" t="str">
        <f t="shared" si="56"/>
        <v>ATENDIDO</v>
      </c>
      <c r="I293" s="24" t="s">
        <v>22</v>
      </c>
      <c r="J293" s="24" t="s">
        <v>10</v>
      </c>
      <c r="K293" s="24" t="s">
        <v>102</v>
      </c>
      <c r="L293" s="24" t="s">
        <v>87</v>
      </c>
      <c r="M293" s="24" t="s">
        <v>86</v>
      </c>
      <c r="N293" s="24" t="s">
        <v>211</v>
      </c>
      <c r="O293" s="25" t="s">
        <v>208</v>
      </c>
      <c r="P293" s="112" t="s">
        <v>181</v>
      </c>
      <c r="Q293" s="24" t="s">
        <v>229</v>
      </c>
      <c r="R293" s="82">
        <f>Tabla1[[#This Row],[Origin Date ]]+3</f>
        <v>45857</v>
      </c>
      <c r="S293" s="2">
        <v>45855</v>
      </c>
      <c r="T293" s="83">
        <f t="shared" si="60"/>
        <v>-2</v>
      </c>
      <c r="U293" s="35" t="str">
        <f t="shared" si="54"/>
        <v>Realizada a Tiempo</v>
      </c>
      <c r="V293" s="24" t="str">
        <f t="shared" si="58"/>
        <v>Cerrada</v>
      </c>
      <c r="W293" s="51">
        <v>1</v>
      </c>
      <c r="X293" s="54"/>
      <c r="Y293" s="102" t="s">
        <v>58</v>
      </c>
      <c r="Z293" s="36">
        <v>30</v>
      </c>
      <c r="AA293" s="36" t="s">
        <v>51</v>
      </c>
      <c r="AB293" s="52">
        <f>Tabla1[[#This Row],[Fecha de Entrega
End Date]]+$Z293</f>
        <v>45885</v>
      </c>
      <c r="AC293" s="44"/>
      <c r="AD293" s="53" t="s">
        <v>386</v>
      </c>
      <c r="AE293" s="37"/>
    </row>
    <row r="294" spans="1:31" ht="38.4" customHeight="1" x14ac:dyDescent="0.3">
      <c r="A294" s="103">
        <v>45854</v>
      </c>
      <c r="B294" s="111">
        <f t="shared" si="59"/>
        <v>290</v>
      </c>
      <c r="C294" s="22"/>
      <c r="D294" s="22"/>
      <c r="E294" s="21" t="s">
        <v>1017</v>
      </c>
      <c r="F294" s="21" t="s">
        <v>1017</v>
      </c>
      <c r="G294" s="81" t="s">
        <v>760</v>
      </c>
      <c r="H294" s="127" t="str">
        <f t="shared" si="56"/>
        <v>ATENDIDO</v>
      </c>
      <c r="I294" s="24" t="s">
        <v>22</v>
      </c>
      <c r="J294" s="24" t="s">
        <v>10</v>
      </c>
      <c r="K294" s="24" t="s">
        <v>102</v>
      </c>
      <c r="L294" s="24" t="s">
        <v>87</v>
      </c>
      <c r="M294" s="24" t="s">
        <v>86</v>
      </c>
      <c r="N294" s="24" t="s">
        <v>211</v>
      </c>
      <c r="O294" s="25" t="s">
        <v>208</v>
      </c>
      <c r="P294" s="112" t="s">
        <v>181</v>
      </c>
      <c r="Q294" s="24" t="s">
        <v>229</v>
      </c>
      <c r="R294" s="82">
        <f>Tabla1[[#This Row],[Origin Date ]]+3</f>
        <v>45857</v>
      </c>
      <c r="S294" s="2">
        <v>45860</v>
      </c>
      <c r="T294" s="83">
        <f t="shared" si="60"/>
        <v>3</v>
      </c>
      <c r="U294" s="35" t="str">
        <f t="shared" si="54"/>
        <v>Realizada a Tiempo</v>
      </c>
      <c r="V294" s="24" t="str">
        <f t="shared" si="58"/>
        <v>Cerrada</v>
      </c>
      <c r="W294" s="51">
        <v>1</v>
      </c>
      <c r="X294" s="54"/>
      <c r="Y294" s="102" t="s">
        <v>58</v>
      </c>
      <c r="Z294" s="36">
        <v>30</v>
      </c>
      <c r="AA294" s="36" t="s">
        <v>51</v>
      </c>
      <c r="AB294" s="52">
        <f>Tabla1[[#This Row],[Fecha de Entrega
End Date]]+$Z294</f>
        <v>45890</v>
      </c>
      <c r="AC294" s="44"/>
      <c r="AD294" s="53" t="s">
        <v>386</v>
      </c>
      <c r="AE294" s="37"/>
    </row>
    <row r="295" spans="1:31" ht="31.95" customHeight="1" x14ac:dyDescent="0.3">
      <c r="A295" s="103">
        <v>45856</v>
      </c>
      <c r="B295" s="111">
        <f t="shared" si="59"/>
        <v>291</v>
      </c>
      <c r="C295" s="22"/>
      <c r="D295" s="22"/>
      <c r="E295" s="21" t="s">
        <v>1018</v>
      </c>
      <c r="F295" s="21" t="s">
        <v>1018</v>
      </c>
      <c r="G295" s="81" t="s">
        <v>760</v>
      </c>
      <c r="H295" s="127" t="str">
        <f t="shared" si="56"/>
        <v>ATENDIDO</v>
      </c>
      <c r="I295" s="24" t="s">
        <v>22</v>
      </c>
      <c r="J295" s="24" t="s">
        <v>10</v>
      </c>
      <c r="K295" s="24" t="s">
        <v>102</v>
      </c>
      <c r="L295" s="24" t="s">
        <v>87</v>
      </c>
      <c r="M295" s="24" t="s">
        <v>86</v>
      </c>
      <c r="N295" s="24" t="s">
        <v>211</v>
      </c>
      <c r="O295" s="25" t="s">
        <v>208</v>
      </c>
      <c r="P295" s="112" t="s">
        <v>181</v>
      </c>
      <c r="Q295" s="24" t="s">
        <v>229</v>
      </c>
      <c r="R295" s="82">
        <f>Tabla1[[#This Row],[Origin Date ]]+3</f>
        <v>45859</v>
      </c>
      <c r="S295" s="2">
        <v>45856</v>
      </c>
      <c r="T295" s="83">
        <f t="shared" si="60"/>
        <v>-3</v>
      </c>
      <c r="U295" s="35" t="str">
        <f t="shared" si="54"/>
        <v>Realizada a Tiempo</v>
      </c>
      <c r="V295" s="24" t="str">
        <f t="shared" si="58"/>
        <v>Cerrada</v>
      </c>
      <c r="W295" s="51">
        <v>1</v>
      </c>
      <c r="X295" s="54"/>
      <c r="Y295" s="102" t="s">
        <v>58</v>
      </c>
      <c r="Z295" s="36">
        <v>30</v>
      </c>
      <c r="AA295" s="36" t="s">
        <v>51</v>
      </c>
      <c r="AB295" s="52">
        <f>Tabla1[[#This Row],[Fecha de Entrega
End Date]]+$Z295</f>
        <v>45886</v>
      </c>
      <c r="AC295" s="84" t="s">
        <v>1099</v>
      </c>
      <c r="AD295" s="53" t="s">
        <v>386</v>
      </c>
      <c r="AE295" s="37"/>
    </row>
    <row r="296" spans="1:31" ht="28.2" customHeight="1" x14ac:dyDescent="0.3">
      <c r="A296" s="103">
        <v>45856</v>
      </c>
      <c r="B296" s="111">
        <f t="shared" si="59"/>
        <v>292</v>
      </c>
      <c r="C296" s="22"/>
      <c r="D296" s="22"/>
      <c r="E296" s="21" t="s">
        <v>1019</v>
      </c>
      <c r="F296" s="21" t="s">
        <v>1019</v>
      </c>
      <c r="G296" s="81" t="s">
        <v>760</v>
      </c>
      <c r="H296" s="127" t="str">
        <f t="shared" si="56"/>
        <v>ATENDIDO</v>
      </c>
      <c r="I296" s="24" t="s">
        <v>22</v>
      </c>
      <c r="J296" s="24" t="s">
        <v>10</v>
      </c>
      <c r="K296" s="24" t="s">
        <v>102</v>
      </c>
      <c r="L296" s="24" t="s">
        <v>87</v>
      </c>
      <c r="M296" s="24" t="s">
        <v>86</v>
      </c>
      <c r="N296" s="24" t="s">
        <v>211</v>
      </c>
      <c r="O296" s="25" t="s">
        <v>208</v>
      </c>
      <c r="P296" s="112" t="s">
        <v>181</v>
      </c>
      <c r="Q296" s="24" t="s">
        <v>229</v>
      </c>
      <c r="R296" s="82">
        <f>Tabla1[[#This Row],[Origin Date ]]+3</f>
        <v>45859</v>
      </c>
      <c r="S296" s="2">
        <v>45856</v>
      </c>
      <c r="T296" s="83">
        <f t="shared" si="60"/>
        <v>-3</v>
      </c>
      <c r="U296" s="35" t="str">
        <f t="shared" ref="U296:U316" si="61">IF((R296=""),"",IF((V296="Cerrada"),"Realizada a Tiempo",IF(OR((($AB$2-R296)=0),(($AB$2-R296)=-1),(($AB$2-R296)=-2),(($AB$2-R296)=-3)),"Tiempo Límite",IF((T296="&gt;9"),"En Proceso","Atrasada"))))</f>
        <v>Realizada a Tiempo</v>
      </c>
      <c r="V296" s="24" t="str">
        <f t="shared" si="58"/>
        <v>Cerrada</v>
      </c>
      <c r="W296" s="51">
        <v>1</v>
      </c>
      <c r="X296" s="54"/>
      <c r="Y296" s="102" t="s">
        <v>58</v>
      </c>
      <c r="Z296" s="36">
        <v>30</v>
      </c>
      <c r="AA296" s="36" t="s">
        <v>51</v>
      </c>
      <c r="AB296" s="52">
        <f>Tabla1[[#This Row],[Fecha de Entrega
End Date]]+$Z296</f>
        <v>45886</v>
      </c>
      <c r="AC296" s="44"/>
      <c r="AD296" s="53" t="s">
        <v>386</v>
      </c>
      <c r="AE296" s="37"/>
    </row>
    <row r="297" spans="1:31" ht="30.6" customHeight="1" x14ac:dyDescent="0.3">
      <c r="A297" s="103">
        <v>45856</v>
      </c>
      <c r="B297" s="111">
        <f t="shared" si="59"/>
        <v>293</v>
      </c>
      <c r="C297" s="22"/>
      <c r="D297" s="22"/>
      <c r="E297" s="21" t="s">
        <v>1020</v>
      </c>
      <c r="F297" s="21" t="s">
        <v>1020</v>
      </c>
      <c r="G297" s="81" t="s">
        <v>760</v>
      </c>
      <c r="H297" s="127" t="str">
        <f t="shared" si="56"/>
        <v>ATENDIDO</v>
      </c>
      <c r="I297" s="24" t="s">
        <v>22</v>
      </c>
      <c r="J297" s="24" t="s">
        <v>10</v>
      </c>
      <c r="K297" s="24" t="s">
        <v>102</v>
      </c>
      <c r="L297" s="24" t="s">
        <v>87</v>
      </c>
      <c r="M297" s="24" t="s">
        <v>86</v>
      </c>
      <c r="N297" s="24" t="s">
        <v>211</v>
      </c>
      <c r="O297" s="25" t="s">
        <v>208</v>
      </c>
      <c r="P297" s="112" t="s">
        <v>181</v>
      </c>
      <c r="Q297" s="24" t="s">
        <v>229</v>
      </c>
      <c r="R297" s="82">
        <f>Tabla1[[#This Row],[Origin Date ]]+3</f>
        <v>45859</v>
      </c>
      <c r="S297" s="2">
        <v>45861</v>
      </c>
      <c r="T297" s="83">
        <f t="shared" si="60"/>
        <v>2</v>
      </c>
      <c r="U297" s="35" t="str">
        <f t="shared" si="61"/>
        <v>Realizada a Tiempo</v>
      </c>
      <c r="V297" s="24" t="str">
        <f t="shared" si="58"/>
        <v>Cerrada</v>
      </c>
      <c r="W297" s="51">
        <v>1</v>
      </c>
      <c r="X297" s="54"/>
      <c r="Y297" s="102" t="s">
        <v>58</v>
      </c>
      <c r="Z297" s="36">
        <v>30</v>
      </c>
      <c r="AA297" s="36" t="s">
        <v>51</v>
      </c>
      <c r="AB297" s="52">
        <f>Tabla1[[#This Row],[Fecha de Entrega
End Date]]+$Z297</f>
        <v>45891</v>
      </c>
      <c r="AC297" s="44"/>
      <c r="AD297" s="53" t="s">
        <v>386</v>
      </c>
      <c r="AE297" s="37"/>
    </row>
    <row r="298" spans="1:31" ht="31.95" customHeight="1" x14ac:dyDescent="0.3">
      <c r="A298" s="103">
        <v>45856</v>
      </c>
      <c r="B298" s="111">
        <f t="shared" si="59"/>
        <v>294</v>
      </c>
      <c r="C298" s="22"/>
      <c r="D298" s="22"/>
      <c r="E298" s="21" t="s">
        <v>1021</v>
      </c>
      <c r="F298" s="21" t="s">
        <v>1021</v>
      </c>
      <c r="G298" s="81" t="s">
        <v>760</v>
      </c>
      <c r="H298" s="127" t="str">
        <f t="shared" si="56"/>
        <v>ATENDIDO</v>
      </c>
      <c r="I298" s="24" t="s">
        <v>22</v>
      </c>
      <c r="J298" s="24" t="s">
        <v>10</v>
      </c>
      <c r="K298" s="24" t="s">
        <v>102</v>
      </c>
      <c r="L298" s="24" t="s">
        <v>87</v>
      </c>
      <c r="M298" s="24" t="s">
        <v>86</v>
      </c>
      <c r="N298" s="24" t="s">
        <v>211</v>
      </c>
      <c r="O298" s="25" t="s">
        <v>208</v>
      </c>
      <c r="P298" s="112" t="s">
        <v>181</v>
      </c>
      <c r="Q298" s="24" t="s">
        <v>229</v>
      </c>
      <c r="R298" s="82">
        <f>Tabla1[[#This Row],[Origin Date ]]+3</f>
        <v>45859</v>
      </c>
      <c r="S298" s="2">
        <v>45856</v>
      </c>
      <c r="T298" s="83">
        <f t="shared" si="60"/>
        <v>-3</v>
      </c>
      <c r="U298" s="35" t="str">
        <f t="shared" si="61"/>
        <v>Realizada a Tiempo</v>
      </c>
      <c r="V298" s="24" t="str">
        <f t="shared" si="58"/>
        <v>Cerrada</v>
      </c>
      <c r="W298" s="51">
        <v>1</v>
      </c>
      <c r="X298" s="54"/>
      <c r="Y298" s="102" t="s">
        <v>58</v>
      </c>
      <c r="Z298" s="36">
        <v>30</v>
      </c>
      <c r="AA298" s="36" t="s">
        <v>51</v>
      </c>
      <c r="AB298" s="52">
        <f>Tabla1[[#This Row],[Fecha de Entrega
End Date]]+$Z298</f>
        <v>45886</v>
      </c>
      <c r="AC298" s="84" t="s">
        <v>1099</v>
      </c>
      <c r="AD298" s="53" t="s">
        <v>386</v>
      </c>
      <c r="AE298" s="37"/>
    </row>
    <row r="299" spans="1:31" ht="29.4" customHeight="1" x14ac:dyDescent="0.3">
      <c r="A299" s="103">
        <v>45856</v>
      </c>
      <c r="B299" s="111">
        <f t="shared" si="59"/>
        <v>295</v>
      </c>
      <c r="C299" s="22"/>
      <c r="D299" s="22"/>
      <c r="E299" s="21" t="s">
        <v>1022</v>
      </c>
      <c r="F299" s="21" t="s">
        <v>1022</v>
      </c>
      <c r="G299" s="81" t="s">
        <v>760</v>
      </c>
      <c r="H299" s="127" t="str">
        <f t="shared" si="56"/>
        <v>ATENDIDO</v>
      </c>
      <c r="I299" s="24" t="s">
        <v>22</v>
      </c>
      <c r="J299" s="24" t="s">
        <v>10</v>
      </c>
      <c r="K299" s="24" t="s">
        <v>102</v>
      </c>
      <c r="L299" s="24" t="s">
        <v>87</v>
      </c>
      <c r="M299" s="24" t="s">
        <v>86</v>
      </c>
      <c r="N299" s="24" t="s">
        <v>211</v>
      </c>
      <c r="O299" s="25" t="s">
        <v>208</v>
      </c>
      <c r="P299" s="112" t="s">
        <v>181</v>
      </c>
      <c r="Q299" s="24" t="s">
        <v>229</v>
      </c>
      <c r="R299" s="82">
        <f>Tabla1[[#This Row],[Origin Date ]]+3</f>
        <v>45859</v>
      </c>
      <c r="S299" s="2">
        <v>45861</v>
      </c>
      <c r="T299" s="83">
        <f t="shared" si="60"/>
        <v>2</v>
      </c>
      <c r="U299" s="35" t="str">
        <f t="shared" si="61"/>
        <v>Realizada a Tiempo</v>
      </c>
      <c r="V299" s="24" t="str">
        <f t="shared" si="58"/>
        <v>Cerrada</v>
      </c>
      <c r="W299" s="51">
        <v>1</v>
      </c>
      <c r="X299" s="54" t="s">
        <v>1102</v>
      </c>
      <c r="Y299" s="102" t="s">
        <v>58</v>
      </c>
      <c r="Z299" s="36">
        <v>30</v>
      </c>
      <c r="AA299" s="36" t="s">
        <v>51</v>
      </c>
      <c r="AB299" s="52">
        <f>Tabla1[[#This Row],[Fecha de Entrega
End Date]]+$Z299</f>
        <v>45891</v>
      </c>
      <c r="AC299" s="84" t="s">
        <v>1101</v>
      </c>
      <c r="AD299" s="53" t="s">
        <v>386</v>
      </c>
      <c r="AE299" s="37"/>
    </row>
    <row r="300" spans="1:31" ht="34.950000000000003" customHeight="1" x14ac:dyDescent="0.3">
      <c r="A300" s="103">
        <v>45857</v>
      </c>
      <c r="B300" s="111">
        <f t="shared" si="59"/>
        <v>296</v>
      </c>
      <c r="C300" s="22"/>
      <c r="D300" s="22"/>
      <c r="E300" s="21" t="s">
        <v>1023</v>
      </c>
      <c r="F300" s="21" t="s">
        <v>1023</v>
      </c>
      <c r="G300" s="81" t="s">
        <v>760</v>
      </c>
      <c r="H300" s="127" t="str">
        <f t="shared" si="56"/>
        <v>ATENDIDO</v>
      </c>
      <c r="I300" s="24" t="s">
        <v>22</v>
      </c>
      <c r="J300" s="24" t="s">
        <v>10</v>
      </c>
      <c r="K300" s="24" t="s">
        <v>102</v>
      </c>
      <c r="L300" s="24" t="s">
        <v>87</v>
      </c>
      <c r="M300" s="24" t="s">
        <v>86</v>
      </c>
      <c r="N300" s="24" t="s">
        <v>211</v>
      </c>
      <c r="O300" s="25" t="s">
        <v>208</v>
      </c>
      <c r="P300" s="112" t="s">
        <v>181</v>
      </c>
      <c r="Q300" s="24" t="s">
        <v>229</v>
      </c>
      <c r="R300" s="82">
        <f>Tabla1[[#This Row],[Origin Date ]]+3</f>
        <v>45860</v>
      </c>
      <c r="S300" s="2">
        <v>45857</v>
      </c>
      <c r="T300" s="83">
        <f t="shared" si="60"/>
        <v>-3</v>
      </c>
      <c r="U300" s="35" t="str">
        <f t="shared" si="61"/>
        <v>Realizada a Tiempo</v>
      </c>
      <c r="V300" s="24" t="str">
        <f t="shared" si="58"/>
        <v>Cerrada</v>
      </c>
      <c r="W300" s="51">
        <v>1</v>
      </c>
      <c r="X300" s="54" t="s">
        <v>1100</v>
      </c>
      <c r="Y300" s="102" t="s">
        <v>58</v>
      </c>
      <c r="Z300" s="36">
        <v>30</v>
      </c>
      <c r="AA300" s="36" t="s">
        <v>51</v>
      </c>
      <c r="AB300" s="52">
        <f>Tabla1[[#This Row],[Fecha de Entrega
End Date]]+$Z300</f>
        <v>45887</v>
      </c>
      <c r="AC300" s="84" t="s">
        <v>1099</v>
      </c>
      <c r="AD300" s="53" t="s">
        <v>386</v>
      </c>
      <c r="AE300" s="37"/>
    </row>
    <row r="301" spans="1:31" ht="36" customHeight="1" x14ac:dyDescent="0.3">
      <c r="A301" s="103">
        <v>45857</v>
      </c>
      <c r="B301" s="111">
        <f t="shared" si="59"/>
        <v>297</v>
      </c>
      <c r="C301" s="22"/>
      <c r="D301" s="22"/>
      <c r="E301" s="21" t="s">
        <v>1024</v>
      </c>
      <c r="F301" s="21" t="s">
        <v>1024</v>
      </c>
      <c r="G301" s="81" t="s">
        <v>760</v>
      </c>
      <c r="H301" s="127" t="str">
        <f t="shared" si="56"/>
        <v>ATENDIDO</v>
      </c>
      <c r="I301" s="24" t="s">
        <v>22</v>
      </c>
      <c r="J301" s="24" t="s">
        <v>10</v>
      </c>
      <c r="K301" s="24" t="s">
        <v>102</v>
      </c>
      <c r="L301" s="24" t="s">
        <v>87</v>
      </c>
      <c r="M301" s="24" t="s">
        <v>86</v>
      </c>
      <c r="N301" s="24" t="s">
        <v>211</v>
      </c>
      <c r="O301" s="25" t="s">
        <v>208</v>
      </c>
      <c r="P301" s="112" t="s">
        <v>181</v>
      </c>
      <c r="Q301" s="24" t="s">
        <v>229</v>
      </c>
      <c r="R301" s="82">
        <f>Tabla1[[#This Row],[Origin Date ]]+3</f>
        <v>45860</v>
      </c>
      <c r="S301" s="2">
        <v>45861</v>
      </c>
      <c r="T301" s="83">
        <f t="shared" si="60"/>
        <v>1</v>
      </c>
      <c r="U301" s="35" t="str">
        <f t="shared" si="61"/>
        <v>Realizada a Tiempo</v>
      </c>
      <c r="V301" s="24" t="str">
        <f t="shared" si="58"/>
        <v>Cerrada</v>
      </c>
      <c r="W301" s="51">
        <v>1</v>
      </c>
      <c r="X301" s="54" t="s">
        <v>1098</v>
      </c>
      <c r="Y301" s="102" t="s">
        <v>58</v>
      </c>
      <c r="Z301" s="36">
        <v>30</v>
      </c>
      <c r="AA301" s="36" t="s">
        <v>51</v>
      </c>
      <c r="AB301" s="52">
        <f>Tabla1[[#This Row],[Fecha de Entrega
End Date]]+$Z301</f>
        <v>45891</v>
      </c>
      <c r="AC301" s="84" t="s">
        <v>1097</v>
      </c>
      <c r="AD301" s="53" t="s">
        <v>386</v>
      </c>
      <c r="AE301" s="37"/>
    </row>
    <row r="302" spans="1:31" ht="35.4" customHeight="1" x14ac:dyDescent="0.3">
      <c r="A302" s="103">
        <v>45861</v>
      </c>
      <c r="B302" s="111">
        <f t="shared" si="59"/>
        <v>298</v>
      </c>
      <c r="C302" s="22"/>
      <c r="D302" s="22"/>
      <c r="E302" s="21" t="s">
        <v>1026</v>
      </c>
      <c r="F302" s="21" t="s">
        <v>1026</v>
      </c>
      <c r="G302" s="81" t="s">
        <v>760</v>
      </c>
      <c r="H302" s="127" t="str">
        <f t="shared" si="56"/>
        <v>ATENDIDO</v>
      </c>
      <c r="I302" s="24" t="s">
        <v>22</v>
      </c>
      <c r="J302" s="24" t="s">
        <v>10</v>
      </c>
      <c r="K302" s="24" t="s">
        <v>102</v>
      </c>
      <c r="L302" s="24" t="s">
        <v>87</v>
      </c>
      <c r="M302" s="24" t="s">
        <v>86</v>
      </c>
      <c r="N302" s="24" t="s">
        <v>211</v>
      </c>
      <c r="O302" s="25" t="s">
        <v>208</v>
      </c>
      <c r="P302" s="112" t="s">
        <v>181</v>
      </c>
      <c r="Q302" s="24" t="s">
        <v>229</v>
      </c>
      <c r="R302" s="82">
        <f>Tabla1[[#This Row],[Origin Date ]]+3</f>
        <v>45864</v>
      </c>
      <c r="S302" s="2">
        <v>45864</v>
      </c>
      <c r="T302" s="83">
        <f t="shared" si="60"/>
        <v>0</v>
      </c>
      <c r="U302" s="35" t="str">
        <f t="shared" si="61"/>
        <v>Realizada a Tiempo</v>
      </c>
      <c r="V302" s="24" t="str">
        <f t="shared" si="58"/>
        <v>Cerrada</v>
      </c>
      <c r="W302" s="51">
        <v>0.7</v>
      </c>
      <c r="X302" s="54" t="s">
        <v>1037</v>
      </c>
      <c r="Y302" s="102" t="s">
        <v>58</v>
      </c>
      <c r="Z302" s="36">
        <v>30</v>
      </c>
      <c r="AA302" s="36" t="s">
        <v>52</v>
      </c>
      <c r="AB302" s="52">
        <f>Tabla1[[#This Row],[Fecha de Entrega
End Date]]+$Z302</f>
        <v>45894</v>
      </c>
      <c r="AC302" s="84" t="s">
        <v>1038</v>
      </c>
      <c r="AD302" s="53" t="s">
        <v>386</v>
      </c>
      <c r="AE302" s="37"/>
    </row>
    <row r="303" spans="1:31" ht="45.6" customHeight="1" x14ac:dyDescent="0.3">
      <c r="A303" s="103">
        <v>45861</v>
      </c>
      <c r="B303" s="111">
        <f t="shared" si="59"/>
        <v>299</v>
      </c>
      <c r="C303" s="22"/>
      <c r="D303" s="22"/>
      <c r="E303" s="21" t="s">
        <v>1039</v>
      </c>
      <c r="F303" s="21" t="s">
        <v>1039</v>
      </c>
      <c r="G303" s="81" t="s">
        <v>1027</v>
      </c>
      <c r="H303" s="127" t="str">
        <f t="shared" si="56"/>
        <v>ATENDIDO</v>
      </c>
      <c r="I303" s="24" t="s">
        <v>21</v>
      </c>
      <c r="J303" s="24" t="s">
        <v>10</v>
      </c>
      <c r="K303" s="24" t="s">
        <v>124</v>
      </c>
      <c r="L303" s="24" t="s">
        <v>87</v>
      </c>
      <c r="M303" s="24" t="s">
        <v>86</v>
      </c>
      <c r="N303" s="24" t="s">
        <v>185</v>
      </c>
      <c r="O303" s="25" t="s">
        <v>208</v>
      </c>
      <c r="P303" s="112" t="s">
        <v>463</v>
      </c>
      <c r="Q303" s="24" t="s">
        <v>229</v>
      </c>
      <c r="R303" s="82">
        <f>Tabla1[[#This Row],[Origin Date ]]+3</f>
        <v>45864</v>
      </c>
      <c r="S303" s="2">
        <v>45868</v>
      </c>
      <c r="T303" s="83">
        <f t="shared" si="60"/>
        <v>4</v>
      </c>
      <c r="U303" s="35" t="str">
        <f t="shared" si="61"/>
        <v>Realizada a Tiempo</v>
      </c>
      <c r="V303" s="24" t="str">
        <f t="shared" si="58"/>
        <v>Cerrada</v>
      </c>
      <c r="W303" s="51">
        <v>1</v>
      </c>
      <c r="X303" s="54" t="s">
        <v>1040</v>
      </c>
      <c r="Y303" s="102" t="s">
        <v>58</v>
      </c>
      <c r="Z303" s="36">
        <v>30</v>
      </c>
      <c r="AA303" s="36" t="s">
        <v>51</v>
      </c>
      <c r="AB303" s="52">
        <f>Tabla1[[#This Row],[Fecha de Entrega
End Date]]+$Z303</f>
        <v>45898</v>
      </c>
      <c r="AC303" s="84" t="s">
        <v>1041</v>
      </c>
      <c r="AD303" s="53" t="s">
        <v>387</v>
      </c>
      <c r="AE303" s="37"/>
    </row>
    <row r="304" spans="1:31" ht="32.4" customHeight="1" x14ac:dyDescent="0.3">
      <c r="A304" s="103">
        <v>45861</v>
      </c>
      <c r="B304" s="111">
        <f t="shared" si="59"/>
        <v>300</v>
      </c>
      <c r="C304" s="22"/>
      <c r="D304" s="22"/>
      <c r="E304" s="21" t="s">
        <v>930</v>
      </c>
      <c r="F304" s="21" t="s">
        <v>930</v>
      </c>
      <c r="G304" s="81" t="s">
        <v>1011</v>
      </c>
      <c r="H304" s="127" t="str">
        <f t="shared" si="56"/>
        <v>ATENDIDO</v>
      </c>
      <c r="I304" s="24" t="s">
        <v>22</v>
      </c>
      <c r="J304" s="24" t="s">
        <v>10</v>
      </c>
      <c r="K304" s="24" t="s">
        <v>102</v>
      </c>
      <c r="L304" s="24" t="s">
        <v>87</v>
      </c>
      <c r="M304" s="24" t="s">
        <v>86</v>
      </c>
      <c r="N304" s="24" t="s">
        <v>211</v>
      </c>
      <c r="O304" s="25" t="s">
        <v>208</v>
      </c>
      <c r="P304" s="112" t="s">
        <v>181</v>
      </c>
      <c r="Q304" s="24" t="s">
        <v>229</v>
      </c>
      <c r="R304" s="82">
        <f>Tabla1[[#This Row],[Origin Date ]]+3</f>
        <v>45864</v>
      </c>
      <c r="S304" s="2">
        <v>45863</v>
      </c>
      <c r="T304" s="83">
        <f t="shared" si="60"/>
        <v>-1</v>
      </c>
      <c r="U304" s="35" t="str">
        <f t="shared" si="61"/>
        <v>Realizada a Tiempo</v>
      </c>
      <c r="V304" s="24" t="str">
        <f t="shared" si="58"/>
        <v>Cerrada</v>
      </c>
      <c r="W304" s="51">
        <v>1</v>
      </c>
      <c r="X304" s="54"/>
      <c r="Y304" s="102" t="s">
        <v>58</v>
      </c>
      <c r="Z304" s="36">
        <v>30</v>
      </c>
      <c r="AA304" s="36"/>
      <c r="AB304" s="52">
        <f>Tabla1[[#This Row],[Fecha de Entrega
End Date]]+$Z304</f>
        <v>45893</v>
      </c>
      <c r="AC304" s="44"/>
      <c r="AD304" s="53" t="s">
        <v>386</v>
      </c>
      <c r="AE304" s="37"/>
    </row>
    <row r="305" spans="1:31" ht="33" customHeight="1" x14ac:dyDescent="0.3">
      <c r="A305" s="103">
        <v>45861</v>
      </c>
      <c r="B305" s="111">
        <f t="shared" si="59"/>
        <v>301</v>
      </c>
      <c r="C305" s="22"/>
      <c r="D305" s="22"/>
      <c r="E305" s="21" t="s">
        <v>1028</v>
      </c>
      <c r="F305" s="21" t="s">
        <v>1028</v>
      </c>
      <c r="G305" s="81" t="s">
        <v>760</v>
      </c>
      <c r="H305" s="127" t="str">
        <f t="shared" si="56"/>
        <v>ATENDIDO</v>
      </c>
      <c r="I305" s="24" t="s">
        <v>22</v>
      </c>
      <c r="J305" s="24" t="s">
        <v>10</v>
      </c>
      <c r="K305" s="24" t="s">
        <v>102</v>
      </c>
      <c r="L305" s="24" t="s">
        <v>87</v>
      </c>
      <c r="M305" s="24" t="s">
        <v>86</v>
      </c>
      <c r="N305" s="24" t="s">
        <v>211</v>
      </c>
      <c r="O305" s="25" t="s">
        <v>208</v>
      </c>
      <c r="P305" s="112" t="s">
        <v>181</v>
      </c>
      <c r="Q305" s="24" t="s">
        <v>229</v>
      </c>
      <c r="R305" s="82">
        <f>Tabla1[[#This Row],[Origin Date ]]+3</f>
        <v>45864</v>
      </c>
      <c r="S305" s="2">
        <v>45863</v>
      </c>
      <c r="T305" s="83">
        <f t="shared" si="60"/>
        <v>-1</v>
      </c>
      <c r="U305" s="35" t="str">
        <f t="shared" si="61"/>
        <v>Realizada a Tiempo</v>
      </c>
      <c r="V305" s="24" t="str">
        <f t="shared" si="58"/>
        <v>Cerrada</v>
      </c>
      <c r="W305" s="51">
        <v>1</v>
      </c>
      <c r="X305" s="54"/>
      <c r="Y305" s="102" t="s">
        <v>58</v>
      </c>
      <c r="Z305" s="36">
        <v>30</v>
      </c>
      <c r="AA305" s="36"/>
      <c r="AB305" s="52">
        <f>Tabla1[[#This Row],[Fecha de Entrega
End Date]]+$Z305</f>
        <v>45893</v>
      </c>
      <c r="AC305" s="44"/>
      <c r="AD305" s="53" t="s">
        <v>386</v>
      </c>
      <c r="AE305" s="37"/>
    </row>
    <row r="306" spans="1:31" ht="29.4" customHeight="1" x14ac:dyDescent="0.3">
      <c r="A306" s="103">
        <v>45861</v>
      </c>
      <c r="B306" s="111">
        <f t="shared" si="59"/>
        <v>302</v>
      </c>
      <c r="C306" s="22"/>
      <c r="D306" s="22"/>
      <c r="E306" s="21" t="s">
        <v>1029</v>
      </c>
      <c r="F306" s="21" t="s">
        <v>1029</v>
      </c>
      <c r="G306" s="81" t="s">
        <v>985</v>
      </c>
      <c r="H306" s="127" t="str">
        <f t="shared" si="56"/>
        <v>ATENDIDO</v>
      </c>
      <c r="I306" s="24" t="s">
        <v>61</v>
      </c>
      <c r="J306" s="24" t="s">
        <v>10</v>
      </c>
      <c r="K306" s="24" t="s">
        <v>118</v>
      </c>
      <c r="L306" s="24" t="s">
        <v>87</v>
      </c>
      <c r="M306" s="24" t="s">
        <v>86</v>
      </c>
      <c r="N306" s="24" t="s">
        <v>209</v>
      </c>
      <c r="O306" s="25" t="s">
        <v>208</v>
      </c>
      <c r="P306" s="112" t="s">
        <v>967</v>
      </c>
      <c r="Q306" s="24" t="s">
        <v>1002</v>
      </c>
      <c r="R306" s="82">
        <f>Tabla1[[#This Row],[Origin Date ]]+3</f>
        <v>45864</v>
      </c>
      <c r="S306" s="2">
        <v>45862</v>
      </c>
      <c r="T306" s="83">
        <f t="shared" si="60"/>
        <v>-2</v>
      </c>
      <c r="U306" s="35" t="str">
        <f t="shared" si="61"/>
        <v>Realizada a Tiempo</v>
      </c>
      <c r="V306" s="24" t="str">
        <f t="shared" si="58"/>
        <v>Cerrada</v>
      </c>
      <c r="W306" s="51">
        <v>1</v>
      </c>
      <c r="X306" s="54"/>
      <c r="Y306" s="102" t="s">
        <v>58</v>
      </c>
      <c r="Z306" s="36">
        <v>30</v>
      </c>
      <c r="AA306" s="36"/>
      <c r="AB306" s="52">
        <f>Tabla1[[#This Row],[Fecha de Entrega
End Date]]+$Z306</f>
        <v>45892</v>
      </c>
      <c r="AC306" s="84" t="s">
        <v>1096</v>
      </c>
      <c r="AD306" s="53" t="s">
        <v>386</v>
      </c>
      <c r="AE306" s="37"/>
    </row>
    <row r="307" spans="1:31" ht="29.4" customHeight="1" x14ac:dyDescent="0.3">
      <c r="A307" s="103">
        <v>45861</v>
      </c>
      <c r="B307" s="111">
        <f t="shared" si="59"/>
        <v>303</v>
      </c>
      <c r="C307" s="22"/>
      <c r="D307" s="22"/>
      <c r="E307" s="21" t="s">
        <v>1030</v>
      </c>
      <c r="F307" s="21" t="s">
        <v>1030</v>
      </c>
      <c r="G307" s="81" t="s">
        <v>985</v>
      </c>
      <c r="H307" s="127" t="str">
        <f t="shared" si="56"/>
        <v>ATENDIDO</v>
      </c>
      <c r="I307" s="24" t="s">
        <v>61</v>
      </c>
      <c r="J307" s="24" t="s">
        <v>10</v>
      </c>
      <c r="K307" s="24" t="s">
        <v>118</v>
      </c>
      <c r="L307" s="24" t="s">
        <v>87</v>
      </c>
      <c r="M307" s="24" t="s">
        <v>86</v>
      </c>
      <c r="N307" s="24" t="s">
        <v>209</v>
      </c>
      <c r="O307" s="25" t="s">
        <v>208</v>
      </c>
      <c r="P307" s="112" t="s">
        <v>967</v>
      </c>
      <c r="Q307" s="24" t="s">
        <v>229</v>
      </c>
      <c r="R307" s="82">
        <f>Tabla1[[#This Row],[Origin Date ]]+3</f>
        <v>45864</v>
      </c>
      <c r="S307" s="2">
        <v>45862</v>
      </c>
      <c r="T307" s="83">
        <f t="shared" si="60"/>
        <v>-2</v>
      </c>
      <c r="U307" s="35" t="str">
        <f t="shared" si="61"/>
        <v>Realizada a Tiempo</v>
      </c>
      <c r="V307" s="24" t="str">
        <f t="shared" si="58"/>
        <v>Cerrada</v>
      </c>
      <c r="W307" s="51">
        <v>1</v>
      </c>
      <c r="X307" s="54" t="s">
        <v>1095</v>
      </c>
      <c r="Y307" s="102" t="s">
        <v>58</v>
      </c>
      <c r="Z307" s="36">
        <v>30</v>
      </c>
      <c r="AA307" s="36"/>
      <c r="AB307" s="52">
        <f>Tabla1[[#This Row],[Fecha de Entrega
End Date]]+$Z307</f>
        <v>45892</v>
      </c>
      <c r="AC307" s="84" t="s">
        <v>1094</v>
      </c>
      <c r="AD307" s="53" t="s">
        <v>386</v>
      </c>
      <c r="AE307" s="37"/>
    </row>
    <row r="308" spans="1:31" ht="28.5" customHeight="1" x14ac:dyDescent="0.3">
      <c r="A308" s="103">
        <v>45866</v>
      </c>
      <c r="B308" s="111">
        <f t="shared" si="59"/>
        <v>304</v>
      </c>
      <c r="C308" s="22"/>
      <c r="D308" s="22"/>
      <c r="E308" s="21" t="s">
        <v>1033</v>
      </c>
      <c r="F308" s="21" t="s">
        <v>1033</v>
      </c>
      <c r="G308" s="81" t="s">
        <v>537</v>
      </c>
      <c r="H308" s="127" t="str">
        <f t="shared" si="56"/>
        <v>ATENDIDO</v>
      </c>
      <c r="I308" s="24" t="s">
        <v>21</v>
      </c>
      <c r="J308" s="24" t="s">
        <v>10</v>
      </c>
      <c r="K308" s="24" t="s">
        <v>124</v>
      </c>
      <c r="L308" s="24" t="s">
        <v>87</v>
      </c>
      <c r="M308" s="24" t="s">
        <v>86</v>
      </c>
      <c r="N308" s="24" t="s">
        <v>185</v>
      </c>
      <c r="O308" s="25" t="s">
        <v>208</v>
      </c>
      <c r="P308" s="112" t="s">
        <v>463</v>
      </c>
      <c r="Q308" s="24" t="s">
        <v>229</v>
      </c>
      <c r="R308" s="82">
        <f>Tabla1[[#This Row],[Origin Date ]]+3</f>
        <v>45869</v>
      </c>
      <c r="S308" s="2">
        <v>45866</v>
      </c>
      <c r="T308" s="83">
        <f t="shared" si="60"/>
        <v>-3</v>
      </c>
      <c r="U308" s="35" t="str">
        <f t="shared" si="61"/>
        <v>Realizada a Tiempo</v>
      </c>
      <c r="V308" s="24" t="str">
        <f t="shared" si="58"/>
        <v>Cerrada</v>
      </c>
      <c r="W308" s="51">
        <v>0.8</v>
      </c>
      <c r="X308" s="54" t="s">
        <v>1093</v>
      </c>
      <c r="Y308" s="102" t="s">
        <v>58</v>
      </c>
      <c r="Z308" s="36">
        <v>30</v>
      </c>
      <c r="AA308" s="36"/>
      <c r="AB308" s="52">
        <f>Tabla1[[#This Row],[Fecha de Entrega
End Date]]+$Z308</f>
        <v>45896</v>
      </c>
      <c r="AC308" s="84" t="s">
        <v>1092</v>
      </c>
      <c r="AD308" s="53" t="s">
        <v>386</v>
      </c>
      <c r="AE308" s="37"/>
    </row>
    <row r="309" spans="1:31" ht="21.75" customHeight="1" x14ac:dyDescent="0.3">
      <c r="A309" s="103">
        <v>45866</v>
      </c>
      <c r="B309" s="111">
        <f t="shared" si="59"/>
        <v>305</v>
      </c>
      <c r="C309" s="22"/>
      <c r="D309" s="22"/>
      <c r="E309" s="21" t="s">
        <v>1031</v>
      </c>
      <c r="F309" s="21" t="s">
        <v>1031</v>
      </c>
      <c r="G309" s="81" t="s">
        <v>537</v>
      </c>
      <c r="H309" s="127" t="str">
        <f t="shared" si="56"/>
        <v>ATENDIDO</v>
      </c>
      <c r="I309" s="24" t="s">
        <v>21</v>
      </c>
      <c r="J309" s="24" t="s">
        <v>10</v>
      </c>
      <c r="K309" s="24" t="s">
        <v>118</v>
      </c>
      <c r="L309" s="24" t="s">
        <v>87</v>
      </c>
      <c r="M309" s="24" t="s">
        <v>86</v>
      </c>
      <c r="N309" s="24" t="s">
        <v>209</v>
      </c>
      <c r="O309" s="25" t="s">
        <v>208</v>
      </c>
      <c r="P309" s="112" t="s">
        <v>463</v>
      </c>
      <c r="Q309" s="24" t="s">
        <v>229</v>
      </c>
      <c r="R309" s="82">
        <f>Tabla1[[#This Row],[Origin Date ]]+3</f>
        <v>45869</v>
      </c>
      <c r="S309" s="2">
        <v>45866</v>
      </c>
      <c r="T309" s="83">
        <f t="shared" si="60"/>
        <v>-3</v>
      </c>
      <c r="U309" s="35" t="str">
        <f t="shared" si="61"/>
        <v>Realizada a Tiempo</v>
      </c>
      <c r="V309" s="24" t="str">
        <f t="shared" si="58"/>
        <v>Cerrada</v>
      </c>
      <c r="W309" s="51">
        <v>0.8</v>
      </c>
      <c r="X309" s="54" t="s">
        <v>1093</v>
      </c>
      <c r="Y309" s="102" t="s">
        <v>58</v>
      </c>
      <c r="Z309" s="36">
        <v>30</v>
      </c>
      <c r="AA309" s="36"/>
      <c r="AB309" s="52">
        <f>Tabla1[[#This Row],[Fecha de Entrega
End Date]]+$Z309</f>
        <v>45896</v>
      </c>
      <c r="AC309" s="84" t="s">
        <v>1092</v>
      </c>
      <c r="AD309" s="53" t="s">
        <v>386</v>
      </c>
      <c r="AE309" s="37"/>
    </row>
    <row r="310" spans="1:31" ht="27.75" customHeight="1" x14ac:dyDescent="0.3">
      <c r="A310" s="103">
        <v>45866</v>
      </c>
      <c r="B310" s="111">
        <f t="shared" si="59"/>
        <v>306</v>
      </c>
      <c r="C310" s="22"/>
      <c r="D310" s="22"/>
      <c r="E310" s="21" t="s">
        <v>1034</v>
      </c>
      <c r="F310" s="21" t="s">
        <v>1034</v>
      </c>
      <c r="G310" s="81" t="s">
        <v>537</v>
      </c>
      <c r="H310" s="127" t="str">
        <f t="shared" si="56"/>
        <v>ATENDIDO</v>
      </c>
      <c r="I310" s="24" t="s">
        <v>21</v>
      </c>
      <c r="J310" s="24" t="s">
        <v>10</v>
      </c>
      <c r="K310" s="24" t="s">
        <v>124</v>
      </c>
      <c r="L310" s="24" t="s">
        <v>87</v>
      </c>
      <c r="M310" s="24" t="s">
        <v>86</v>
      </c>
      <c r="N310" s="24" t="s">
        <v>185</v>
      </c>
      <c r="O310" s="25" t="s">
        <v>208</v>
      </c>
      <c r="P310" s="112" t="s">
        <v>463</v>
      </c>
      <c r="Q310" s="24" t="s">
        <v>93</v>
      </c>
      <c r="R310" s="82">
        <f>Tabla1[[#This Row],[Origin Date ]]+3</f>
        <v>45869</v>
      </c>
      <c r="S310" s="2">
        <v>45869</v>
      </c>
      <c r="T310" s="83">
        <f t="shared" si="60"/>
        <v>0</v>
      </c>
      <c r="U310" s="35" t="str">
        <f t="shared" si="61"/>
        <v>Realizada a Tiempo</v>
      </c>
      <c r="V310" s="24" t="str">
        <f t="shared" si="58"/>
        <v>Cerrada</v>
      </c>
      <c r="W310" s="51">
        <v>1</v>
      </c>
      <c r="X310" s="54" t="s">
        <v>1035</v>
      </c>
      <c r="Y310" s="102" t="s">
        <v>58</v>
      </c>
      <c r="Z310" s="36">
        <v>30</v>
      </c>
      <c r="AA310" s="36" t="s">
        <v>51</v>
      </c>
      <c r="AB310" s="52">
        <f>Tabla1[[#This Row],[Fecha de Entrega
End Date]]+$Z310</f>
        <v>45899</v>
      </c>
      <c r="AC310" s="84" t="s">
        <v>1036</v>
      </c>
      <c r="AD310" s="53" t="s">
        <v>386</v>
      </c>
      <c r="AE310" s="37"/>
    </row>
    <row r="311" spans="1:31" ht="33" customHeight="1" x14ac:dyDescent="0.3">
      <c r="A311" s="103">
        <v>45870</v>
      </c>
      <c r="B311" s="111">
        <f t="shared" si="59"/>
        <v>307</v>
      </c>
      <c r="C311" s="22"/>
      <c r="D311" s="22"/>
      <c r="E311" s="21" t="s">
        <v>1032</v>
      </c>
      <c r="F311" s="21" t="s">
        <v>1032</v>
      </c>
      <c r="G311" s="81" t="s">
        <v>537</v>
      </c>
      <c r="H311" s="127" t="str">
        <f t="shared" si="56"/>
        <v>ATENDIDO</v>
      </c>
      <c r="I311" s="24" t="s">
        <v>21</v>
      </c>
      <c r="J311" s="24" t="s">
        <v>10</v>
      </c>
      <c r="K311" s="24" t="s">
        <v>124</v>
      </c>
      <c r="L311" s="24" t="s">
        <v>87</v>
      </c>
      <c r="M311" s="24" t="s">
        <v>86</v>
      </c>
      <c r="N311" s="24" t="s">
        <v>185</v>
      </c>
      <c r="O311" s="25" t="s">
        <v>208</v>
      </c>
      <c r="P311" s="112" t="s">
        <v>463</v>
      </c>
      <c r="Q311" s="24" t="s">
        <v>1002</v>
      </c>
      <c r="R311" s="82">
        <f>Tabla1[[#This Row],[Origin Date ]]+3</f>
        <v>45873</v>
      </c>
      <c r="S311" s="2">
        <v>45873</v>
      </c>
      <c r="T311" s="83">
        <f t="shared" si="60"/>
        <v>0</v>
      </c>
      <c r="U311" s="35" t="str">
        <f t="shared" si="61"/>
        <v>Realizada a Tiempo</v>
      </c>
      <c r="V311" s="24" t="str">
        <f t="shared" si="58"/>
        <v>Cerrada</v>
      </c>
      <c r="W311" s="51">
        <v>0.8</v>
      </c>
      <c r="X311" s="54" t="s">
        <v>1115</v>
      </c>
      <c r="Y311" s="102" t="s">
        <v>58</v>
      </c>
      <c r="Z311" s="36">
        <v>30</v>
      </c>
      <c r="AA311" s="36" t="s">
        <v>52</v>
      </c>
      <c r="AB311" s="52">
        <f>Tabla1[[#This Row],[Fecha de Entrega
End Date]]+$Z311</f>
        <v>45903</v>
      </c>
      <c r="AC311" s="84" t="s">
        <v>1116</v>
      </c>
      <c r="AD311" s="53" t="s">
        <v>386</v>
      </c>
      <c r="AE311" s="37"/>
    </row>
    <row r="312" spans="1:31" ht="34.5" customHeight="1" x14ac:dyDescent="0.3">
      <c r="A312" s="103">
        <v>45863</v>
      </c>
      <c r="B312" s="111">
        <f t="shared" si="59"/>
        <v>308</v>
      </c>
      <c r="C312" s="22"/>
      <c r="D312" s="22"/>
      <c r="E312" s="21" t="s">
        <v>1046</v>
      </c>
      <c r="F312" s="21" t="s">
        <v>1046</v>
      </c>
      <c r="G312" s="81" t="s">
        <v>1047</v>
      </c>
      <c r="H312" s="127" t="str">
        <f t="shared" si="56"/>
        <v>ATENDIDO</v>
      </c>
      <c r="I312" s="24" t="s">
        <v>21</v>
      </c>
      <c r="J312" s="24" t="s">
        <v>10</v>
      </c>
      <c r="K312" s="24" t="s">
        <v>124</v>
      </c>
      <c r="L312" s="24" t="s">
        <v>87</v>
      </c>
      <c r="M312" s="24" t="s">
        <v>86</v>
      </c>
      <c r="N312" s="24" t="s">
        <v>185</v>
      </c>
      <c r="O312" s="25" t="s">
        <v>208</v>
      </c>
      <c r="P312" s="112" t="s">
        <v>463</v>
      </c>
      <c r="Q312" s="24" t="s">
        <v>93</v>
      </c>
      <c r="R312" s="82">
        <f>Tabla1[[#This Row],[Origin Date ]]+3</f>
        <v>45866</v>
      </c>
      <c r="S312" s="2">
        <v>45863</v>
      </c>
      <c r="T312" s="83">
        <f t="shared" si="60"/>
        <v>-3</v>
      </c>
      <c r="U312" s="35" t="str">
        <f t="shared" si="61"/>
        <v>Realizada a Tiempo</v>
      </c>
      <c r="V312" s="24" t="str">
        <f t="shared" si="58"/>
        <v>Cerrada</v>
      </c>
      <c r="W312" s="51">
        <v>1</v>
      </c>
      <c r="X312" s="54" t="s">
        <v>1045</v>
      </c>
      <c r="Y312" s="102" t="s">
        <v>58</v>
      </c>
      <c r="Z312" s="36">
        <v>30</v>
      </c>
      <c r="AA312" s="36" t="s">
        <v>51</v>
      </c>
      <c r="AB312" s="52">
        <f>Tabla1[[#This Row],[Fecha de Entrega
End Date]]+$Z312</f>
        <v>45893</v>
      </c>
      <c r="AC312" s="84" t="s">
        <v>1048</v>
      </c>
      <c r="AD312" s="53" t="s">
        <v>386</v>
      </c>
      <c r="AE312" s="37"/>
    </row>
    <row r="313" spans="1:31" ht="30" customHeight="1" x14ac:dyDescent="0.3">
      <c r="A313" s="103">
        <v>45868</v>
      </c>
      <c r="B313" s="111">
        <f t="shared" si="59"/>
        <v>309</v>
      </c>
      <c r="C313" s="22"/>
      <c r="D313" s="22"/>
      <c r="E313" s="21" t="s">
        <v>1042</v>
      </c>
      <c r="F313" s="21" t="s">
        <v>1042</v>
      </c>
      <c r="G313" s="81" t="s">
        <v>574</v>
      </c>
      <c r="H313" s="127" t="str">
        <f t="shared" si="56"/>
        <v>ATENDIDO</v>
      </c>
      <c r="I313" s="111" t="s">
        <v>61</v>
      </c>
      <c r="J313" s="24" t="s">
        <v>10</v>
      </c>
      <c r="K313" s="24" t="s">
        <v>116</v>
      </c>
      <c r="L313" s="24" t="s">
        <v>87</v>
      </c>
      <c r="M313" s="24" t="s">
        <v>86</v>
      </c>
      <c r="N313" s="24" t="s">
        <v>209</v>
      </c>
      <c r="O313" s="25" t="s">
        <v>208</v>
      </c>
      <c r="P313" s="112" t="s">
        <v>73</v>
      </c>
      <c r="Q313" s="24" t="s">
        <v>229</v>
      </c>
      <c r="R313" s="82">
        <f>Tabla1[[#This Row],[Origin Date ]]+3</f>
        <v>45871</v>
      </c>
      <c r="S313" s="2">
        <v>45869</v>
      </c>
      <c r="T313" s="83">
        <f t="shared" si="60"/>
        <v>-2</v>
      </c>
      <c r="U313" s="35" t="str">
        <f t="shared" si="61"/>
        <v>Realizada a Tiempo</v>
      </c>
      <c r="V313" s="24" t="str">
        <f t="shared" si="58"/>
        <v>Cerrada</v>
      </c>
      <c r="W313" s="51">
        <v>1</v>
      </c>
      <c r="X313" s="54" t="s">
        <v>1043</v>
      </c>
      <c r="Y313" s="102" t="s">
        <v>58</v>
      </c>
      <c r="Z313" s="36">
        <v>30</v>
      </c>
      <c r="AA313" s="36" t="s">
        <v>51</v>
      </c>
      <c r="AB313" s="52">
        <f>Tabla1[[#This Row],[Fecha de Entrega
End Date]]+$Z313</f>
        <v>45899</v>
      </c>
      <c r="AC313" s="109" t="s">
        <v>1044</v>
      </c>
      <c r="AD313" s="53" t="s">
        <v>386</v>
      </c>
      <c r="AE313" s="37"/>
    </row>
    <row r="314" spans="1:31" ht="26.4" customHeight="1" x14ac:dyDescent="0.3">
      <c r="A314" s="103">
        <v>45868</v>
      </c>
      <c r="B314" s="111">
        <f t="shared" si="59"/>
        <v>310</v>
      </c>
      <c r="C314" s="22"/>
      <c r="D314" s="22"/>
      <c r="E314" s="21" t="s">
        <v>1051</v>
      </c>
      <c r="F314" s="21" t="s">
        <v>1051</v>
      </c>
      <c r="G314" s="81" t="s">
        <v>552</v>
      </c>
      <c r="H314" s="127" t="str">
        <f t="shared" si="56"/>
        <v>ATENDIDO</v>
      </c>
      <c r="I314" s="111" t="s">
        <v>61</v>
      </c>
      <c r="J314" s="24" t="s">
        <v>10</v>
      </c>
      <c r="K314" s="24" t="s">
        <v>125</v>
      </c>
      <c r="L314" s="24" t="s">
        <v>87</v>
      </c>
      <c r="M314" s="24" t="s">
        <v>86</v>
      </c>
      <c r="N314" s="24" t="s">
        <v>185</v>
      </c>
      <c r="O314" s="25" t="s">
        <v>208</v>
      </c>
      <c r="P314" s="112" t="s">
        <v>846</v>
      </c>
      <c r="Q314" s="24" t="s">
        <v>229</v>
      </c>
      <c r="R314" s="82">
        <f>Tabla1[[#This Row],[Origin Date ]]+3</f>
        <v>45871</v>
      </c>
      <c r="S314" s="2">
        <v>45869</v>
      </c>
      <c r="T314" s="83">
        <f t="shared" si="60"/>
        <v>-2</v>
      </c>
      <c r="U314" s="35" t="str">
        <f t="shared" si="61"/>
        <v>Realizada a Tiempo</v>
      </c>
      <c r="V314" s="24" t="str">
        <f t="shared" si="58"/>
        <v>Cerrada</v>
      </c>
      <c r="W314" s="51">
        <v>1</v>
      </c>
      <c r="X314" s="54" t="s">
        <v>1052</v>
      </c>
      <c r="Y314" s="102" t="s">
        <v>58</v>
      </c>
      <c r="Z314" s="36">
        <v>30</v>
      </c>
      <c r="AA314" s="36" t="s">
        <v>51</v>
      </c>
      <c r="AB314" s="52">
        <f>Tabla1[[#This Row],[Fecha de Entrega
End Date]]+$Z314</f>
        <v>45899</v>
      </c>
      <c r="AC314" s="84" t="s">
        <v>1053</v>
      </c>
      <c r="AD314" s="53" t="s">
        <v>386</v>
      </c>
      <c r="AE314" s="37"/>
    </row>
    <row r="315" spans="1:31" ht="29.4" customHeight="1" x14ac:dyDescent="0.3">
      <c r="A315" s="103">
        <v>45867</v>
      </c>
      <c r="B315" s="111">
        <f t="shared" si="59"/>
        <v>311</v>
      </c>
      <c r="C315" s="22"/>
      <c r="D315" s="22"/>
      <c r="E315" s="21" t="s">
        <v>1054</v>
      </c>
      <c r="F315" s="21" t="s">
        <v>1054</v>
      </c>
      <c r="G315" s="81" t="s">
        <v>1055</v>
      </c>
      <c r="H315" s="127" t="str">
        <f t="shared" si="56"/>
        <v>ATENDIDO</v>
      </c>
      <c r="I315" s="111" t="s">
        <v>61</v>
      </c>
      <c r="J315" s="24" t="s">
        <v>10</v>
      </c>
      <c r="K315" s="24" t="s">
        <v>124</v>
      </c>
      <c r="L315" s="24" t="s">
        <v>87</v>
      </c>
      <c r="M315" s="24" t="s">
        <v>86</v>
      </c>
      <c r="N315" s="24" t="s">
        <v>185</v>
      </c>
      <c r="O315" s="25" t="s">
        <v>208</v>
      </c>
      <c r="P315" s="112" t="s">
        <v>463</v>
      </c>
      <c r="Q315" s="24" t="s">
        <v>229</v>
      </c>
      <c r="R315" s="82">
        <f>Tabla1[[#This Row],[Origin Date ]]+3</f>
        <v>45870</v>
      </c>
      <c r="S315" s="2">
        <v>45868</v>
      </c>
      <c r="T315" s="83">
        <f t="shared" si="60"/>
        <v>-2</v>
      </c>
      <c r="U315" s="35" t="str">
        <f t="shared" si="61"/>
        <v>Realizada a Tiempo</v>
      </c>
      <c r="V315" s="24" t="str">
        <f t="shared" si="58"/>
        <v>Cerrada</v>
      </c>
      <c r="W315" s="51">
        <v>0.8</v>
      </c>
      <c r="X315" s="54" t="s">
        <v>1056</v>
      </c>
      <c r="Y315" s="102" t="s">
        <v>58</v>
      </c>
      <c r="Z315" s="36">
        <v>30</v>
      </c>
      <c r="AA315" s="36" t="s">
        <v>52</v>
      </c>
      <c r="AB315" s="52">
        <f>Tabla1[[#This Row],[Fecha de Entrega
End Date]]+$Z315</f>
        <v>45898</v>
      </c>
      <c r="AC315" s="84" t="s">
        <v>1057</v>
      </c>
      <c r="AD315" s="53" t="s">
        <v>386</v>
      </c>
      <c r="AE315" s="37"/>
    </row>
    <row r="316" spans="1:31" ht="23.4" customHeight="1" x14ac:dyDescent="0.3">
      <c r="A316" s="103">
        <v>45870</v>
      </c>
      <c r="B316" s="111">
        <f t="shared" si="59"/>
        <v>312</v>
      </c>
      <c r="C316" s="22"/>
      <c r="D316" s="22"/>
      <c r="E316" s="21" t="s">
        <v>1058</v>
      </c>
      <c r="F316" s="21" t="s">
        <v>1058</v>
      </c>
      <c r="G316" s="81" t="s">
        <v>760</v>
      </c>
      <c r="H316" s="127" t="str">
        <f t="shared" si="56"/>
        <v>ATENDIDO</v>
      </c>
      <c r="I316" s="111" t="s">
        <v>22</v>
      </c>
      <c r="J316" s="24" t="s">
        <v>10</v>
      </c>
      <c r="K316" s="24" t="s">
        <v>102</v>
      </c>
      <c r="L316" s="24" t="s">
        <v>87</v>
      </c>
      <c r="M316" s="24" t="s">
        <v>86</v>
      </c>
      <c r="N316" s="24" t="s">
        <v>211</v>
      </c>
      <c r="O316" s="25" t="s">
        <v>208</v>
      </c>
      <c r="P316" s="112" t="s">
        <v>181</v>
      </c>
      <c r="Q316" s="24" t="s">
        <v>229</v>
      </c>
      <c r="R316" s="82">
        <f>Tabla1[[#This Row],[Origin Date ]]+3</f>
        <v>45873</v>
      </c>
      <c r="S316" s="2">
        <v>45873</v>
      </c>
      <c r="T316" s="83">
        <f t="shared" si="60"/>
        <v>0</v>
      </c>
      <c r="U316" s="35" t="str">
        <f t="shared" si="61"/>
        <v>Realizada a Tiempo</v>
      </c>
      <c r="V316" s="24" t="str">
        <f t="shared" si="58"/>
        <v>Cerrada</v>
      </c>
      <c r="W316" s="51">
        <v>0.8</v>
      </c>
      <c r="X316" s="110" t="s">
        <v>1060</v>
      </c>
      <c r="Y316" s="102" t="s">
        <v>58</v>
      </c>
      <c r="Z316" s="36">
        <v>30</v>
      </c>
      <c r="AA316" s="36" t="s">
        <v>52</v>
      </c>
      <c r="AB316" s="52">
        <f>Tabla1[[#This Row],[Fecha de Entrega
End Date]]+$Z316</f>
        <v>45903</v>
      </c>
      <c r="AC316" s="44"/>
      <c r="AD316" s="53" t="s">
        <v>384</v>
      </c>
      <c r="AE316" s="37" t="s">
        <v>1063</v>
      </c>
    </row>
    <row r="317" spans="1:31" ht="25.2" customHeight="1" x14ac:dyDescent="0.3">
      <c r="A317" s="103">
        <v>45870</v>
      </c>
      <c r="B317" s="111">
        <f t="shared" ref="B317:B380" si="62">IF(A317&lt;&gt;"",1+B316,"")</f>
        <v>313</v>
      </c>
      <c r="C317" s="22"/>
      <c r="D317" s="22"/>
      <c r="E317" s="21" t="s">
        <v>1059</v>
      </c>
      <c r="F317" s="21" t="s">
        <v>1059</v>
      </c>
      <c r="G317" s="81" t="s">
        <v>760</v>
      </c>
      <c r="H317" s="127" t="str">
        <f t="shared" si="56"/>
        <v>ATENDIDO</v>
      </c>
      <c r="I317" s="111" t="s">
        <v>22</v>
      </c>
      <c r="J317" s="24" t="s">
        <v>10</v>
      </c>
      <c r="K317" s="24" t="s">
        <v>102</v>
      </c>
      <c r="L317" s="24" t="s">
        <v>87</v>
      </c>
      <c r="M317" s="24" t="s">
        <v>86</v>
      </c>
      <c r="N317" s="24" t="s">
        <v>211</v>
      </c>
      <c r="O317" s="25" t="s">
        <v>208</v>
      </c>
      <c r="P317" s="112" t="s">
        <v>181</v>
      </c>
      <c r="Q317" s="24" t="s">
        <v>229</v>
      </c>
      <c r="R317" s="82">
        <f>Tabla1[[#This Row],[Origin Date ]]+3</f>
        <v>45873</v>
      </c>
      <c r="S317" s="2">
        <v>45873</v>
      </c>
      <c r="T317" s="83">
        <f t="shared" ref="T317:T334" si="63">IF((R317=""),"",IF((V317="Cerrada"),(S317-R317),IF((($AA$2-R317)&lt;=0),"-",($AA$2-R317))))</f>
        <v>0</v>
      </c>
      <c r="U317" s="35" t="str">
        <f t="shared" ref="U317:U334" si="64">IF((R317=""),"",IF((V317="Cerrada"),"Realizada a Tiempo",IF(OR((($AB$2-R317)=0),(($AB$2-R317)=-1),(($AB$2-R317)=-2),(($AB$2-R317)=-3)),"Tiempo Límite",IF((T317="&gt;9"),"En Proceso","Atrasada"))))</f>
        <v>Realizada a Tiempo</v>
      </c>
      <c r="V317" s="24" t="str">
        <f t="shared" si="58"/>
        <v>Cerrada</v>
      </c>
      <c r="W317" s="51">
        <v>0.8</v>
      </c>
      <c r="X317" s="110" t="s">
        <v>1061</v>
      </c>
      <c r="Y317" s="102" t="s">
        <v>58</v>
      </c>
      <c r="Z317" s="36">
        <v>30</v>
      </c>
      <c r="AA317" s="36" t="s">
        <v>52</v>
      </c>
      <c r="AB317" s="52">
        <f>Tabla1[[#This Row],[Fecha de Entrega
End Date]]+$Z317</f>
        <v>45903</v>
      </c>
      <c r="AC317" s="44"/>
      <c r="AD317" s="53" t="s">
        <v>384</v>
      </c>
      <c r="AE317" s="37" t="s">
        <v>1062</v>
      </c>
    </row>
    <row r="318" spans="1:31" ht="30" customHeight="1" x14ac:dyDescent="0.3">
      <c r="A318" s="103">
        <v>45870</v>
      </c>
      <c r="B318" s="111">
        <f t="shared" si="62"/>
        <v>314</v>
      </c>
      <c r="C318" s="22"/>
      <c r="D318" s="22"/>
      <c r="E318" s="21" t="s">
        <v>1064</v>
      </c>
      <c r="F318" s="21" t="s">
        <v>1064</v>
      </c>
      <c r="G318" s="81" t="s">
        <v>537</v>
      </c>
      <c r="H318" s="127" t="str">
        <f t="shared" si="56"/>
        <v>ATENDIDO</v>
      </c>
      <c r="I318" s="111" t="s">
        <v>21</v>
      </c>
      <c r="J318" s="24" t="s">
        <v>10</v>
      </c>
      <c r="K318" s="24" t="s">
        <v>124</v>
      </c>
      <c r="L318" s="24" t="s">
        <v>87</v>
      </c>
      <c r="M318" s="24" t="s">
        <v>86</v>
      </c>
      <c r="N318" s="24" t="s">
        <v>185</v>
      </c>
      <c r="O318" s="25" t="s">
        <v>208</v>
      </c>
      <c r="P318" s="112" t="s">
        <v>463</v>
      </c>
      <c r="Q318" s="24" t="s">
        <v>229</v>
      </c>
      <c r="R318" s="82">
        <f>Tabla1[[#This Row],[Origin Date ]]+3</f>
        <v>45873</v>
      </c>
      <c r="S318" s="2">
        <v>45870</v>
      </c>
      <c r="T318" s="83">
        <f t="shared" si="63"/>
        <v>-3</v>
      </c>
      <c r="U318" s="35" t="str">
        <f t="shared" si="64"/>
        <v>Realizada a Tiempo</v>
      </c>
      <c r="V318" s="24" t="str">
        <f t="shared" si="58"/>
        <v>Cerrada</v>
      </c>
      <c r="W318" s="51">
        <v>1</v>
      </c>
      <c r="X318" s="110" t="s">
        <v>1070</v>
      </c>
      <c r="Y318" s="102" t="s">
        <v>58</v>
      </c>
      <c r="Z318" s="36">
        <v>30</v>
      </c>
      <c r="AA318" s="36" t="s">
        <v>52</v>
      </c>
      <c r="AB318" s="52">
        <f>Tabla1[[#This Row],[Fecha de Entrega
End Date]]+$Z318</f>
        <v>45900</v>
      </c>
      <c r="AC318" s="84" t="s">
        <v>1076</v>
      </c>
      <c r="AD318" s="53" t="s">
        <v>386</v>
      </c>
      <c r="AE318" s="37"/>
    </row>
    <row r="319" spans="1:31" ht="27" customHeight="1" x14ac:dyDescent="0.3">
      <c r="A319" s="103">
        <v>45870</v>
      </c>
      <c r="B319" s="111">
        <f t="shared" si="62"/>
        <v>315</v>
      </c>
      <c r="C319" s="22"/>
      <c r="D319" s="22"/>
      <c r="E319" s="21" t="s">
        <v>1065</v>
      </c>
      <c r="F319" s="21" t="s">
        <v>1065</v>
      </c>
      <c r="G319" s="81" t="s">
        <v>537</v>
      </c>
      <c r="H319" s="127" t="str">
        <f t="shared" si="56"/>
        <v>ATENDIDO</v>
      </c>
      <c r="I319" s="111" t="s">
        <v>21</v>
      </c>
      <c r="J319" s="24" t="s">
        <v>10</v>
      </c>
      <c r="K319" s="24" t="s">
        <v>124</v>
      </c>
      <c r="L319" s="24" t="s">
        <v>87</v>
      </c>
      <c r="M319" s="24" t="s">
        <v>86</v>
      </c>
      <c r="N319" s="24" t="s">
        <v>185</v>
      </c>
      <c r="O319" s="25" t="s">
        <v>208</v>
      </c>
      <c r="P319" s="112" t="s">
        <v>463</v>
      </c>
      <c r="Q319" s="24" t="s">
        <v>1002</v>
      </c>
      <c r="R319" s="82">
        <f>Tabla1[[#This Row],[Origin Date ]]+3</f>
        <v>45873</v>
      </c>
      <c r="S319" s="2">
        <v>45873</v>
      </c>
      <c r="T319" s="83">
        <f t="shared" si="63"/>
        <v>0</v>
      </c>
      <c r="U319" s="35" t="str">
        <f t="shared" si="64"/>
        <v>Realizada a Tiempo</v>
      </c>
      <c r="V319" s="24" t="str">
        <f t="shared" si="58"/>
        <v>Cerrada</v>
      </c>
      <c r="W319" s="51">
        <v>1</v>
      </c>
      <c r="X319" s="110" t="s">
        <v>1071</v>
      </c>
      <c r="Y319" s="102" t="s">
        <v>58</v>
      </c>
      <c r="Z319" s="36">
        <v>30</v>
      </c>
      <c r="AA319" s="36" t="s">
        <v>52</v>
      </c>
      <c r="AB319" s="52">
        <f>Tabla1[[#This Row],[Fecha de Entrega
End Date]]+$Z319</f>
        <v>45903</v>
      </c>
      <c r="AC319" s="84" t="s">
        <v>1077</v>
      </c>
      <c r="AD319" s="53" t="s">
        <v>386</v>
      </c>
      <c r="AE319" s="37"/>
    </row>
    <row r="320" spans="1:31" ht="33" customHeight="1" x14ac:dyDescent="0.3">
      <c r="A320" s="103">
        <v>45870</v>
      </c>
      <c r="B320" s="111">
        <f t="shared" si="62"/>
        <v>316</v>
      </c>
      <c r="C320" s="22"/>
      <c r="D320" s="22"/>
      <c r="E320" s="21" t="s">
        <v>1066</v>
      </c>
      <c r="F320" s="21" t="s">
        <v>1066</v>
      </c>
      <c r="G320" s="81" t="s">
        <v>537</v>
      </c>
      <c r="H320" s="127" t="str">
        <f t="shared" si="56"/>
        <v>ATENDIDO</v>
      </c>
      <c r="I320" s="111" t="s">
        <v>21</v>
      </c>
      <c r="J320" s="24" t="s">
        <v>10</v>
      </c>
      <c r="K320" s="24" t="s">
        <v>124</v>
      </c>
      <c r="L320" s="24" t="s">
        <v>87</v>
      </c>
      <c r="M320" s="24" t="s">
        <v>86</v>
      </c>
      <c r="N320" s="24" t="s">
        <v>185</v>
      </c>
      <c r="O320" s="25" t="s">
        <v>208</v>
      </c>
      <c r="P320" s="112" t="s">
        <v>463</v>
      </c>
      <c r="Q320" s="24" t="s">
        <v>1002</v>
      </c>
      <c r="R320" s="82">
        <f>Tabla1[[#This Row],[Origin Date ]]+3</f>
        <v>45873</v>
      </c>
      <c r="S320" s="2">
        <v>45870</v>
      </c>
      <c r="T320" s="83">
        <f t="shared" si="63"/>
        <v>-3</v>
      </c>
      <c r="U320" s="35" t="str">
        <f t="shared" si="64"/>
        <v>Realizada a Tiempo</v>
      </c>
      <c r="V320" s="24" t="str">
        <f t="shared" si="58"/>
        <v>Cerrada</v>
      </c>
      <c r="W320" s="51">
        <v>1</v>
      </c>
      <c r="X320" s="110" t="s">
        <v>1074</v>
      </c>
      <c r="Y320" s="102" t="s">
        <v>58</v>
      </c>
      <c r="Z320" s="36">
        <v>30</v>
      </c>
      <c r="AA320" s="36" t="s">
        <v>52</v>
      </c>
      <c r="AB320" s="52">
        <f>Tabla1[[#This Row],[Fecha de Entrega
End Date]]+$Z320</f>
        <v>45900</v>
      </c>
      <c r="AC320" s="84" t="s">
        <v>1078</v>
      </c>
      <c r="AD320" s="53" t="s">
        <v>386</v>
      </c>
      <c r="AE320" s="37"/>
    </row>
    <row r="321" spans="1:31" ht="26.4" customHeight="1" x14ac:dyDescent="0.3">
      <c r="A321" s="103">
        <v>45870</v>
      </c>
      <c r="B321" s="111">
        <f t="shared" si="62"/>
        <v>317</v>
      </c>
      <c r="C321" s="22"/>
      <c r="D321" s="22"/>
      <c r="E321" s="21" t="s">
        <v>1067</v>
      </c>
      <c r="F321" s="21" t="s">
        <v>1067</v>
      </c>
      <c r="G321" s="81" t="s">
        <v>537</v>
      </c>
      <c r="H321" s="127" t="str">
        <f t="shared" si="56"/>
        <v>ATENDIDO</v>
      </c>
      <c r="I321" s="111" t="s">
        <v>21</v>
      </c>
      <c r="J321" s="24" t="s">
        <v>10</v>
      </c>
      <c r="K321" s="24" t="s">
        <v>124</v>
      </c>
      <c r="L321" s="24" t="s">
        <v>87</v>
      </c>
      <c r="M321" s="24" t="s">
        <v>86</v>
      </c>
      <c r="N321" s="24" t="s">
        <v>185</v>
      </c>
      <c r="O321" s="25" t="s">
        <v>208</v>
      </c>
      <c r="P321" s="112" t="s">
        <v>463</v>
      </c>
      <c r="Q321" s="24" t="s">
        <v>1002</v>
      </c>
      <c r="R321" s="82">
        <f>Tabla1[[#This Row],[Origin Date ]]+3</f>
        <v>45873</v>
      </c>
      <c r="S321" s="2">
        <v>45870</v>
      </c>
      <c r="T321" s="83">
        <f t="shared" si="63"/>
        <v>-3</v>
      </c>
      <c r="U321" s="35" t="str">
        <f t="shared" si="64"/>
        <v>Realizada a Tiempo</v>
      </c>
      <c r="V321" s="24" t="str">
        <f t="shared" si="58"/>
        <v>Cerrada</v>
      </c>
      <c r="W321" s="51">
        <v>1</v>
      </c>
      <c r="X321" s="110" t="s">
        <v>1073</v>
      </c>
      <c r="Y321" s="102" t="s">
        <v>58</v>
      </c>
      <c r="Z321" s="36">
        <v>30</v>
      </c>
      <c r="AA321" s="36" t="s">
        <v>52</v>
      </c>
      <c r="AB321" s="52">
        <f>Tabla1[[#This Row],[Fecha de Entrega
End Date]]+$Z321</f>
        <v>45900</v>
      </c>
      <c r="AC321" s="84" t="s">
        <v>1078</v>
      </c>
      <c r="AD321" s="53" t="s">
        <v>386</v>
      </c>
      <c r="AE321" s="37"/>
    </row>
    <row r="322" spans="1:31" ht="29.4" customHeight="1" x14ac:dyDescent="0.3">
      <c r="A322" s="103">
        <v>45870</v>
      </c>
      <c r="B322" s="111">
        <f t="shared" si="62"/>
        <v>318</v>
      </c>
      <c r="C322" s="22"/>
      <c r="D322" s="22"/>
      <c r="E322" s="21" t="s">
        <v>1069</v>
      </c>
      <c r="F322" s="21" t="s">
        <v>1069</v>
      </c>
      <c r="G322" s="81" t="s">
        <v>537</v>
      </c>
      <c r="H322" s="127" t="str">
        <f t="shared" si="56"/>
        <v>ATENDIDO</v>
      </c>
      <c r="I322" s="111" t="s">
        <v>21</v>
      </c>
      <c r="J322" s="24" t="s">
        <v>10</v>
      </c>
      <c r="K322" s="24" t="s">
        <v>124</v>
      </c>
      <c r="L322" s="24" t="s">
        <v>87</v>
      </c>
      <c r="M322" s="24" t="s">
        <v>86</v>
      </c>
      <c r="N322" s="24" t="s">
        <v>185</v>
      </c>
      <c r="O322" s="25" t="s">
        <v>208</v>
      </c>
      <c r="P322" s="112" t="s">
        <v>463</v>
      </c>
      <c r="Q322" s="24" t="s">
        <v>1002</v>
      </c>
      <c r="R322" s="82">
        <f>Tabla1[[#This Row],[Origin Date ]]+3</f>
        <v>45873</v>
      </c>
      <c r="S322" s="2">
        <v>45870</v>
      </c>
      <c r="T322" s="83">
        <f t="shared" si="63"/>
        <v>-3</v>
      </c>
      <c r="U322" s="35" t="str">
        <f t="shared" si="64"/>
        <v>Realizada a Tiempo</v>
      </c>
      <c r="V322" s="24" t="str">
        <f t="shared" si="58"/>
        <v>Cerrada</v>
      </c>
      <c r="W322" s="51">
        <v>1</v>
      </c>
      <c r="X322" s="110" t="s">
        <v>1072</v>
      </c>
      <c r="Y322" s="102" t="s">
        <v>58</v>
      </c>
      <c r="Z322" s="36">
        <v>30</v>
      </c>
      <c r="AA322" s="36" t="s">
        <v>52</v>
      </c>
      <c r="AB322" s="52">
        <f>Tabla1[[#This Row],[Fecha de Entrega
End Date]]+$Z322</f>
        <v>45900</v>
      </c>
      <c r="AC322" s="84" t="s">
        <v>1080</v>
      </c>
      <c r="AD322" s="53" t="s">
        <v>386</v>
      </c>
      <c r="AE322" s="37"/>
    </row>
    <row r="323" spans="1:31" ht="30" customHeight="1" x14ac:dyDescent="0.3">
      <c r="A323" s="103">
        <v>45870</v>
      </c>
      <c r="B323" s="111">
        <f t="shared" si="62"/>
        <v>319</v>
      </c>
      <c r="C323" s="22"/>
      <c r="D323" s="22"/>
      <c r="E323" s="21" t="s">
        <v>1068</v>
      </c>
      <c r="F323" s="21" t="s">
        <v>1068</v>
      </c>
      <c r="G323" s="81" t="s">
        <v>537</v>
      </c>
      <c r="H323" s="127" t="str">
        <f t="shared" ref="H323:H385" si="65">IF((A323=""),"",IF((V323="Cerrada"),"ATENDIDO",IF(OR((($AA$2-A323)=0),(($AA$2-A323)=-1),(($AA$2-A323)=-2),(($AA$2-A323)=-3)),"BAJO",IF((T323="-3"),"MEDIO","ALTA"))))</f>
        <v>ATENDIDO</v>
      </c>
      <c r="I323" s="111" t="s">
        <v>21</v>
      </c>
      <c r="J323" s="24" t="s">
        <v>10</v>
      </c>
      <c r="K323" s="24" t="s">
        <v>124</v>
      </c>
      <c r="L323" s="24" t="s">
        <v>87</v>
      </c>
      <c r="M323" s="24" t="s">
        <v>86</v>
      </c>
      <c r="N323" s="24" t="s">
        <v>185</v>
      </c>
      <c r="O323" s="25" t="s">
        <v>208</v>
      </c>
      <c r="P323" s="112" t="s">
        <v>463</v>
      </c>
      <c r="Q323" s="24" t="s">
        <v>229</v>
      </c>
      <c r="R323" s="82">
        <f>Tabla1[[#This Row],[Origin Date ]]+3</f>
        <v>45873</v>
      </c>
      <c r="S323" s="2">
        <v>45873</v>
      </c>
      <c r="T323" s="83">
        <f t="shared" si="63"/>
        <v>0</v>
      </c>
      <c r="U323" s="35" t="str">
        <f t="shared" si="64"/>
        <v>Realizada a Tiempo</v>
      </c>
      <c r="V323" s="24" t="str">
        <f t="shared" si="58"/>
        <v>Cerrada</v>
      </c>
      <c r="W323" s="51">
        <v>1</v>
      </c>
      <c r="X323" s="110" t="s">
        <v>1075</v>
      </c>
      <c r="Y323" s="102" t="s">
        <v>58</v>
      </c>
      <c r="Z323" s="36">
        <v>30</v>
      </c>
      <c r="AA323" s="36" t="s">
        <v>52</v>
      </c>
      <c r="AB323" s="52">
        <f>Tabla1[[#This Row],[Fecha de Entrega
End Date]]+$Z323</f>
        <v>45903</v>
      </c>
      <c r="AC323" s="84" t="s">
        <v>1079</v>
      </c>
      <c r="AD323" s="53" t="s">
        <v>386</v>
      </c>
      <c r="AE323" s="37"/>
    </row>
    <row r="324" spans="1:31" ht="27" customHeight="1" x14ac:dyDescent="0.3">
      <c r="A324" s="103">
        <v>45871</v>
      </c>
      <c r="B324" s="111">
        <f t="shared" si="62"/>
        <v>320</v>
      </c>
      <c r="C324" s="22"/>
      <c r="D324" s="22"/>
      <c r="E324" s="21" t="s">
        <v>1081</v>
      </c>
      <c r="F324" s="21" t="s">
        <v>1081</v>
      </c>
      <c r="G324" s="81" t="s">
        <v>537</v>
      </c>
      <c r="H324" s="127" t="str">
        <f t="shared" si="65"/>
        <v>ATENDIDO</v>
      </c>
      <c r="I324" s="111" t="s">
        <v>21</v>
      </c>
      <c r="J324" s="24" t="s">
        <v>10</v>
      </c>
      <c r="K324" s="24" t="s">
        <v>124</v>
      </c>
      <c r="L324" s="24" t="s">
        <v>87</v>
      </c>
      <c r="M324" s="24" t="s">
        <v>86</v>
      </c>
      <c r="N324" s="24" t="s">
        <v>185</v>
      </c>
      <c r="O324" s="25" t="s">
        <v>208</v>
      </c>
      <c r="P324" s="112" t="s">
        <v>463</v>
      </c>
      <c r="Q324" s="24" t="s">
        <v>1002</v>
      </c>
      <c r="R324" s="82">
        <f>Tabla1[[#This Row],[Origin Date ]]+3</f>
        <v>45874</v>
      </c>
      <c r="S324" s="2">
        <v>45874</v>
      </c>
      <c r="T324" s="83">
        <f t="shared" si="63"/>
        <v>0</v>
      </c>
      <c r="U324" s="35" t="str">
        <f t="shared" si="64"/>
        <v>Realizada a Tiempo</v>
      </c>
      <c r="V324" s="24" t="str">
        <f t="shared" si="58"/>
        <v>Cerrada</v>
      </c>
      <c r="W324" s="51">
        <v>1</v>
      </c>
      <c r="X324" s="54" t="s">
        <v>689</v>
      </c>
      <c r="Y324" s="102" t="s">
        <v>58</v>
      </c>
      <c r="Z324" s="36">
        <v>30</v>
      </c>
      <c r="AA324" s="36" t="s">
        <v>51</v>
      </c>
      <c r="AB324" s="52">
        <f>Tabla1[[#This Row],[Fecha de Entrega
End Date]]+$Z324</f>
        <v>45904</v>
      </c>
      <c r="AC324" s="84" t="s">
        <v>1082</v>
      </c>
      <c r="AD324" s="53" t="s">
        <v>386</v>
      </c>
      <c r="AE324" s="37"/>
    </row>
    <row r="325" spans="1:31" ht="24.6" customHeight="1" x14ac:dyDescent="0.3">
      <c r="A325" s="103">
        <v>45870</v>
      </c>
      <c r="B325" s="111">
        <f t="shared" si="62"/>
        <v>321</v>
      </c>
      <c r="C325" s="22"/>
      <c r="D325" s="22"/>
      <c r="E325" s="21" t="s">
        <v>1083</v>
      </c>
      <c r="F325" s="21" t="s">
        <v>1083</v>
      </c>
      <c r="G325" s="81" t="s">
        <v>537</v>
      </c>
      <c r="H325" s="127" t="str">
        <f t="shared" si="65"/>
        <v>ATENDIDO</v>
      </c>
      <c r="I325" s="111" t="s">
        <v>21</v>
      </c>
      <c r="J325" s="24" t="s">
        <v>10</v>
      </c>
      <c r="K325" s="24" t="s">
        <v>124</v>
      </c>
      <c r="L325" s="24" t="s">
        <v>87</v>
      </c>
      <c r="M325" s="24" t="s">
        <v>86</v>
      </c>
      <c r="N325" s="24" t="s">
        <v>185</v>
      </c>
      <c r="O325" s="25" t="s">
        <v>208</v>
      </c>
      <c r="P325" s="112" t="s">
        <v>463</v>
      </c>
      <c r="Q325" s="24" t="s">
        <v>229</v>
      </c>
      <c r="R325" s="82">
        <f>Tabla1[[#This Row],[Origin Date ]]+3</f>
        <v>45873</v>
      </c>
      <c r="S325" s="2">
        <v>45870</v>
      </c>
      <c r="T325" s="83">
        <f t="shared" si="63"/>
        <v>-3</v>
      </c>
      <c r="U325" s="35" t="str">
        <f t="shared" si="64"/>
        <v>Realizada a Tiempo</v>
      </c>
      <c r="V325" s="24" t="str">
        <f t="shared" si="58"/>
        <v>Cerrada</v>
      </c>
      <c r="W325" s="51">
        <v>0.8</v>
      </c>
      <c r="X325" s="54" t="s">
        <v>1084</v>
      </c>
      <c r="Y325" s="102" t="s">
        <v>58</v>
      </c>
      <c r="Z325" s="36">
        <v>30</v>
      </c>
      <c r="AA325" s="36" t="s">
        <v>52</v>
      </c>
      <c r="AB325" s="52">
        <f>Tabla1[[#This Row],[Fecha de Entrega
End Date]]+$Z325</f>
        <v>45900</v>
      </c>
      <c r="AC325" s="44"/>
      <c r="AD325" s="53" t="s">
        <v>384</v>
      </c>
      <c r="AE325" s="37" t="s">
        <v>835</v>
      </c>
    </row>
    <row r="326" spans="1:31" ht="28.2" customHeight="1" x14ac:dyDescent="0.3">
      <c r="A326" s="103">
        <v>45870</v>
      </c>
      <c r="B326" s="111">
        <f t="shared" si="62"/>
        <v>322</v>
      </c>
      <c r="C326" s="22"/>
      <c r="D326" s="22"/>
      <c r="E326" s="21" t="s">
        <v>1085</v>
      </c>
      <c r="F326" s="21" t="s">
        <v>1085</v>
      </c>
      <c r="G326" s="81" t="s">
        <v>537</v>
      </c>
      <c r="H326" s="127" t="str">
        <f t="shared" si="65"/>
        <v>ATENDIDO</v>
      </c>
      <c r="I326" s="111" t="s">
        <v>21</v>
      </c>
      <c r="J326" s="24" t="s">
        <v>10</v>
      </c>
      <c r="K326" s="24" t="s">
        <v>124</v>
      </c>
      <c r="L326" s="24" t="s">
        <v>87</v>
      </c>
      <c r="M326" s="24" t="s">
        <v>86</v>
      </c>
      <c r="N326" s="24" t="s">
        <v>185</v>
      </c>
      <c r="O326" s="25" t="s">
        <v>208</v>
      </c>
      <c r="P326" s="112" t="s">
        <v>463</v>
      </c>
      <c r="Q326" s="24" t="s">
        <v>229</v>
      </c>
      <c r="R326" s="82">
        <f>Tabla1[[#This Row],[Origin Date ]]+3</f>
        <v>45873</v>
      </c>
      <c r="S326" s="2">
        <v>45870</v>
      </c>
      <c r="T326" s="83">
        <f t="shared" si="63"/>
        <v>-3</v>
      </c>
      <c r="U326" s="35" t="str">
        <f t="shared" si="64"/>
        <v>Realizada a Tiempo</v>
      </c>
      <c r="V326" s="24" t="str">
        <f t="shared" si="58"/>
        <v>Cerrada</v>
      </c>
      <c r="W326" s="51">
        <v>1</v>
      </c>
      <c r="X326" s="54" t="s">
        <v>997</v>
      </c>
      <c r="Y326" s="102" t="s">
        <v>58</v>
      </c>
      <c r="Z326" s="36">
        <v>30</v>
      </c>
      <c r="AA326" s="36" t="s">
        <v>51</v>
      </c>
      <c r="AB326" s="52">
        <f>Tabla1[[#This Row],[Fecha de Entrega
End Date]]+$Z326</f>
        <v>45900</v>
      </c>
      <c r="AC326" s="84" t="s">
        <v>813</v>
      </c>
      <c r="AD326" s="53" t="s">
        <v>386</v>
      </c>
      <c r="AE326" s="37"/>
    </row>
    <row r="327" spans="1:31" ht="28.2" customHeight="1" x14ac:dyDescent="0.3">
      <c r="A327" s="103">
        <v>45873</v>
      </c>
      <c r="B327" s="111">
        <f t="shared" si="62"/>
        <v>323</v>
      </c>
      <c r="C327" s="22"/>
      <c r="D327" s="22"/>
      <c r="E327" s="21" t="s">
        <v>1087</v>
      </c>
      <c r="F327" s="21" t="s">
        <v>1087</v>
      </c>
      <c r="G327" s="81" t="s">
        <v>537</v>
      </c>
      <c r="H327" s="127" t="str">
        <f t="shared" si="65"/>
        <v>ATENDIDO</v>
      </c>
      <c r="I327" s="111" t="s">
        <v>21</v>
      </c>
      <c r="J327" s="24" t="s">
        <v>10</v>
      </c>
      <c r="K327" s="24" t="s">
        <v>124</v>
      </c>
      <c r="L327" s="24" t="s">
        <v>87</v>
      </c>
      <c r="M327" s="24" t="s">
        <v>86</v>
      </c>
      <c r="N327" s="24" t="s">
        <v>185</v>
      </c>
      <c r="O327" s="25" t="s">
        <v>208</v>
      </c>
      <c r="P327" s="112" t="s">
        <v>463</v>
      </c>
      <c r="Q327" s="24" t="s">
        <v>229</v>
      </c>
      <c r="R327" s="82">
        <f>Tabla1[[#This Row],[Origin Date ]]+3</f>
        <v>45876</v>
      </c>
      <c r="S327" s="2">
        <v>45875</v>
      </c>
      <c r="T327" s="83">
        <f t="shared" si="63"/>
        <v>-1</v>
      </c>
      <c r="U327" s="35" t="str">
        <f t="shared" si="64"/>
        <v>Realizada a Tiempo</v>
      </c>
      <c r="V327" s="24" t="str">
        <f t="shared" si="58"/>
        <v>Cerrada</v>
      </c>
      <c r="W327" s="51">
        <v>1</v>
      </c>
      <c r="X327" s="54" t="s">
        <v>1122</v>
      </c>
      <c r="Y327" s="102" t="s">
        <v>58</v>
      </c>
      <c r="Z327" s="36">
        <v>30</v>
      </c>
      <c r="AA327" s="36" t="s">
        <v>51</v>
      </c>
      <c r="AB327" s="52">
        <f>Tabla1[[#This Row],[Fecha de Entrega
End Date]]+$Z327</f>
        <v>45905</v>
      </c>
      <c r="AC327" s="44"/>
      <c r="AD327" s="53" t="s">
        <v>386</v>
      </c>
      <c r="AE327" s="37"/>
    </row>
    <row r="328" spans="1:31" ht="30" customHeight="1" x14ac:dyDescent="0.3">
      <c r="A328" s="103">
        <v>45873</v>
      </c>
      <c r="B328" s="111">
        <f t="shared" si="62"/>
        <v>324</v>
      </c>
      <c r="C328" s="22" t="s">
        <v>1136</v>
      </c>
      <c r="D328" s="22" t="s">
        <v>102</v>
      </c>
      <c r="E328" s="21" t="s">
        <v>1086</v>
      </c>
      <c r="F328" s="21" t="s">
        <v>1086</v>
      </c>
      <c r="G328" s="81" t="s">
        <v>760</v>
      </c>
      <c r="H328" s="127" t="str">
        <f t="shared" si="65"/>
        <v>ALTA</v>
      </c>
      <c r="I328" s="111" t="s">
        <v>22</v>
      </c>
      <c r="J328" s="24" t="s">
        <v>10</v>
      </c>
      <c r="K328" s="24" t="s">
        <v>102</v>
      </c>
      <c r="L328" s="24" t="s">
        <v>87</v>
      </c>
      <c r="M328" s="24" t="s">
        <v>86</v>
      </c>
      <c r="N328" s="24" t="s">
        <v>211</v>
      </c>
      <c r="O328" s="25" t="s">
        <v>208</v>
      </c>
      <c r="P328" s="112" t="s">
        <v>181</v>
      </c>
      <c r="Q328" s="24" t="s">
        <v>229</v>
      </c>
      <c r="R328" s="82">
        <f>Tabla1[[#This Row],[Origin Date ]]+3</f>
        <v>45876</v>
      </c>
      <c r="S328" s="2"/>
      <c r="T328" s="83" t="str">
        <f t="shared" si="63"/>
        <v>-</v>
      </c>
      <c r="U328" s="35" t="str">
        <f t="shared" ca="1" si="64"/>
        <v>Atrasada</v>
      </c>
      <c r="V328" s="24" t="str">
        <f t="shared" si="58"/>
        <v>Abierta</v>
      </c>
      <c r="W328" s="51">
        <v>0.2</v>
      </c>
      <c r="X328" s="54"/>
      <c r="Y328" s="102" t="s">
        <v>58</v>
      </c>
      <c r="Z328" s="36">
        <v>30</v>
      </c>
      <c r="AA328" s="36"/>
      <c r="AB328" s="52">
        <f>Tabla1[[#This Row],[Fecha de Entrega
End Date]]+$Z328</f>
        <v>30</v>
      </c>
      <c r="AC328" s="44"/>
      <c r="AD328" s="53" t="s">
        <v>6</v>
      </c>
      <c r="AE328" s="37"/>
    </row>
    <row r="329" spans="1:31" ht="29.4" customHeight="1" x14ac:dyDescent="0.3">
      <c r="A329" s="103">
        <v>45877</v>
      </c>
      <c r="B329" s="111">
        <f t="shared" si="62"/>
        <v>325</v>
      </c>
      <c r="C329" s="22" t="s">
        <v>1136</v>
      </c>
      <c r="D329" s="22" t="s">
        <v>122</v>
      </c>
      <c r="E329" s="21" t="s">
        <v>1088</v>
      </c>
      <c r="F329" s="21" t="s">
        <v>1126</v>
      </c>
      <c r="G329" s="81" t="s">
        <v>537</v>
      </c>
      <c r="H329" s="127" t="str">
        <f t="shared" si="65"/>
        <v>ATENDIDO</v>
      </c>
      <c r="I329" s="111" t="s">
        <v>21</v>
      </c>
      <c r="J329" s="24" t="s">
        <v>10</v>
      </c>
      <c r="K329" s="24" t="s">
        <v>124</v>
      </c>
      <c r="L329" s="24" t="s">
        <v>87</v>
      </c>
      <c r="M329" s="24" t="s">
        <v>86</v>
      </c>
      <c r="N329" s="24" t="s">
        <v>185</v>
      </c>
      <c r="O329" s="25" t="s">
        <v>208</v>
      </c>
      <c r="P329" s="112" t="s">
        <v>463</v>
      </c>
      <c r="Q329" s="24" t="s">
        <v>1002</v>
      </c>
      <c r="R329" s="82">
        <f>Tabla1[[#This Row],[Origin Date ]]+3</f>
        <v>45880</v>
      </c>
      <c r="S329" s="2">
        <v>45880</v>
      </c>
      <c r="T329" s="83">
        <f t="shared" si="63"/>
        <v>0</v>
      </c>
      <c r="U329" s="35" t="str">
        <f t="shared" si="64"/>
        <v>Realizada a Tiempo</v>
      </c>
      <c r="V329" s="24" t="str">
        <f t="shared" si="58"/>
        <v>Cerrada</v>
      </c>
      <c r="W329" s="51">
        <v>0.5</v>
      </c>
      <c r="X329" s="54" t="s">
        <v>1127</v>
      </c>
      <c r="Y329" s="102" t="s">
        <v>58</v>
      </c>
      <c r="Z329" s="36">
        <v>30</v>
      </c>
      <c r="AA329" s="36" t="s">
        <v>51</v>
      </c>
      <c r="AB329" s="52">
        <f>Tabla1[[#This Row],[Fecha de Entrega
End Date]]+$Z329</f>
        <v>45910</v>
      </c>
      <c r="AC329" s="84" t="s">
        <v>1128</v>
      </c>
      <c r="AD329" s="53" t="s">
        <v>386</v>
      </c>
      <c r="AE329" s="37"/>
    </row>
    <row r="330" spans="1:31" ht="36" customHeight="1" x14ac:dyDescent="0.3">
      <c r="A330" s="103">
        <v>45874</v>
      </c>
      <c r="B330" s="111">
        <f t="shared" si="62"/>
        <v>326</v>
      </c>
      <c r="C330" s="22" t="s">
        <v>1136</v>
      </c>
      <c r="D330" s="22" t="s">
        <v>114</v>
      </c>
      <c r="E330" s="21" t="s">
        <v>1089</v>
      </c>
      <c r="F330" s="21" t="s">
        <v>1089</v>
      </c>
      <c r="G330" s="81" t="s">
        <v>537</v>
      </c>
      <c r="H330" s="127" t="str">
        <f t="shared" si="65"/>
        <v>ALTA</v>
      </c>
      <c r="I330" s="111" t="s">
        <v>21</v>
      </c>
      <c r="J330" s="24" t="s">
        <v>10</v>
      </c>
      <c r="K330" s="24" t="s">
        <v>124</v>
      </c>
      <c r="L330" s="24" t="s">
        <v>87</v>
      </c>
      <c r="M330" s="24" t="s">
        <v>86</v>
      </c>
      <c r="N330" s="24" t="s">
        <v>185</v>
      </c>
      <c r="O330" s="25" t="s">
        <v>208</v>
      </c>
      <c r="P330" s="112" t="s">
        <v>463</v>
      </c>
      <c r="Q330" s="24" t="s">
        <v>1002</v>
      </c>
      <c r="R330" s="82">
        <f>Tabla1[[#This Row],[Origin Date ]]+3</f>
        <v>45877</v>
      </c>
      <c r="S330" s="2"/>
      <c r="T330" s="83" t="str">
        <f t="shared" si="63"/>
        <v>-</v>
      </c>
      <c r="U330" s="35" t="str">
        <f t="shared" ca="1" si="64"/>
        <v>Atrasada</v>
      </c>
      <c r="V330" s="24" t="str">
        <f t="shared" si="58"/>
        <v>Abierta</v>
      </c>
      <c r="W330" s="51">
        <v>0.5</v>
      </c>
      <c r="X330" s="54"/>
      <c r="Y330" s="102" t="s">
        <v>58</v>
      </c>
      <c r="Z330" s="36">
        <v>30</v>
      </c>
      <c r="AA330" s="36"/>
      <c r="AB330" s="52">
        <f>Tabla1[[#This Row],[Fecha de Entrega
End Date]]+$Z330</f>
        <v>30</v>
      </c>
      <c r="AC330" s="44"/>
      <c r="AD330" s="53" t="s">
        <v>6</v>
      </c>
      <c r="AE330" s="37"/>
    </row>
    <row r="331" spans="1:31" ht="40.200000000000003" customHeight="1" x14ac:dyDescent="0.3">
      <c r="A331" s="103">
        <v>45875</v>
      </c>
      <c r="B331" s="111">
        <f t="shared" si="62"/>
        <v>327</v>
      </c>
      <c r="C331" s="22" t="s">
        <v>1136</v>
      </c>
      <c r="D331" s="22" t="s">
        <v>122</v>
      </c>
      <c r="E331" s="21" t="s">
        <v>1105</v>
      </c>
      <c r="F331" s="21" t="s">
        <v>1117</v>
      </c>
      <c r="G331" s="81" t="s">
        <v>537</v>
      </c>
      <c r="H331" s="127" t="str">
        <f t="shared" si="65"/>
        <v>ALTA</v>
      </c>
      <c r="I331" s="111" t="s">
        <v>21</v>
      </c>
      <c r="J331" s="24" t="s">
        <v>10</v>
      </c>
      <c r="K331" s="24" t="s">
        <v>124</v>
      </c>
      <c r="L331" s="24" t="s">
        <v>87</v>
      </c>
      <c r="M331" s="24" t="s">
        <v>86</v>
      </c>
      <c r="N331" s="24" t="s">
        <v>185</v>
      </c>
      <c r="O331" s="25" t="s">
        <v>208</v>
      </c>
      <c r="P331" s="112" t="s">
        <v>463</v>
      </c>
      <c r="Q331" s="24" t="s">
        <v>1002</v>
      </c>
      <c r="R331" s="82">
        <f>Tabla1[[#This Row],[Origin Date ]]+3</f>
        <v>45878</v>
      </c>
      <c r="S331" s="2"/>
      <c r="T331" s="83" t="str">
        <f t="shared" si="63"/>
        <v>-</v>
      </c>
      <c r="U331" s="35" t="str">
        <f t="shared" ca="1" si="64"/>
        <v>Atrasada</v>
      </c>
      <c r="V331" s="24" t="str">
        <f t="shared" si="58"/>
        <v>Abierta</v>
      </c>
      <c r="W331" s="51">
        <v>0.5</v>
      </c>
      <c r="X331" s="54"/>
      <c r="Y331" s="102" t="s">
        <v>58</v>
      </c>
      <c r="Z331" s="36">
        <v>30</v>
      </c>
      <c r="AA331" s="36"/>
      <c r="AB331" s="52">
        <f>Tabla1[[#This Row],[Fecha de Entrega
End Date]]+$Z331</f>
        <v>30</v>
      </c>
      <c r="AC331" s="44"/>
      <c r="AD331" s="53" t="s">
        <v>6</v>
      </c>
      <c r="AE331" s="37"/>
    </row>
    <row r="332" spans="1:31" ht="42.6" customHeight="1" x14ac:dyDescent="0.3">
      <c r="A332" s="103">
        <v>45875</v>
      </c>
      <c r="B332" s="111">
        <f t="shared" si="62"/>
        <v>328</v>
      </c>
      <c r="C332" s="22" t="s">
        <v>1136</v>
      </c>
      <c r="D332" s="22" t="s">
        <v>122</v>
      </c>
      <c r="E332" s="21" t="s">
        <v>1090</v>
      </c>
      <c r="F332" s="21" t="s">
        <v>1090</v>
      </c>
      <c r="G332" s="81" t="s">
        <v>537</v>
      </c>
      <c r="H332" s="127" t="str">
        <f t="shared" si="65"/>
        <v>ALTA</v>
      </c>
      <c r="I332" s="111" t="s">
        <v>21</v>
      </c>
      <c r="J332" s="24" t="s">
        <v>10</v>
      </c>
      <c r="K332" s="24" t="s">
        <v>124</v>
      </c>
      <c r="L332" s="24" t="s">
        <v>87</v>
      </c>
      <c r="M332" s="24" t="s">
        <v>86</v>
      </c>
      <c r="N332" s="24" t="s">
        <v>185</v>
      </c>
      <c r="O332" s="25" t="s">
        <v>208</v>
      </c>
      <c r="P332" s="112" t="s">
        <v>463</v>
      </c>
      <c r="Q332" s="24" t="s">
        <v>1002</v>
      </c>
      <c r="R332" s="82">
        <f>Tabla1[[#This Row],[Origin Date ]]+3</f>
        <v>45878</v>
      </c>
      <c r="S332" s="2"/>
      <c r="T332" s="83" t="str">
        <f t="shared" si="63"/>
        <v>-</v>
      </c>
      <c r="U332" s="35" t="str">
        <f t="shared" ca="1" si="64"/>
        <v>Atrasada</v>
      </c>
      <c r="V332" s="24" t="str">
        <f t="shared" si="58"/>
        <v>Abierta</v>
      </c>
      <c r="W332" s="51">
        <v>0.2</v>
      </c>
      <c r="X332" s="54"/>
      <c r="Y332" s="102" t="s">
        <v>58</v>
      </c>
      <c r="Z332" s="36">
        <v>30</v>
      </c>
      <c r="AA332" s="36"/>
      <c r="AB332" s="52">
        <f>Tabla1[[#This Row],[Fecha de Entrega
End Date]]+$Z332</f>
        <v>30</v>
      </c>
      <c r="AC332" s="44"/>
      <c r="AD332" s="53" t="s">
        <v>6</v>
      </c>
      <c r="AE332" s="37"/>
    </row>
    <row r="333" spans="1:31" ht="33" customHeight="1" x14ac:dyDescent="0.3">
      <c r="A333" s="103">
        <v>45875</v>
      </c>
      <c r="B333" s="111">
        <f t="shared" si="62"/>
        <v>329</v>
      </c>
      <c r="C333" s="22" t="s">
        <v>1136</v>
      </c>
      <c r="D333" s="22" t="s">
        <v>114</v>
      </c>
      <c r="E333" s="21" t="s">
        <v>1091</v>
      </c>
      <c r="F333" s="21" t="s">
        <v>1125</v>
      </c>
      <c r="G333" s="81" t="s">
        <v>540</v>
      </c>
      <c r="H333" s="127" t="str">
        <f t="shared" si="65"/>
        <v>ALTA</v>
      </c>
      <c r="I333" s="111" t="s">
        <v>61</v>
      </c>
      <c r="J333" s="24" t="s">
        <v>10</v>
      </c>
      <c r="K333" s="24" t="s">
        <v>120</v>
      </c>
      <c r="L333" s="24" t="s">
        <v>87</v>
      </c>
      <c r="M333" s="24" t="s">
        <v>86</v>
      </c>
      <c r="N333" s="24" t="s">
        <v>209</v>
      </c>
      <c r="O333" s="25" t="s">
        <v>208</v>
      </c>
      <c r="P333" s="112" t="s">
        <v>463</v>
      </c>
      <c r="Q333" s="24" t="s">
        <v>229</v>
      </c>
      <c r="R333" s="82">
        <f>Tabla1[[#This Row],[Origin Date ]]+3</f>
        <v>45878</v>
      </c>
      <c r="S333" s="2"/>
      <c r="T333" s="83" t="str">
        <f t="shared" si="63"/>
        <v>-</v>
      </c>
      <c r="U333" s="35" t="str">
        <f t="shared" ca="1" si="64"/>
        <v>Atrasada</v>
      </c>
      <c r="V333" s="24" t="str">
        <f t="shared" si="58"/>
        <v>Abierta</v>
      </c>
      <c r="W333" s="51">
        <v>0.2</v>
      </c>
      <c r="X333" s="54"/>
      <c r="Y333" s="102" t="s">
        <v>58</v>
      </c>
      <c r="Z333" s="36">
        <v>30</v>
      </c>
      <c r="AA333" s="36"/>
      <c r="AB333" s="52">
        <f>Tabla1[[#This Row],[Fecha de Entrega
End Date]]+$Z333</f>
        <v>30</v>
      </c>
      <c r="AC333" s="44"/>
      <c r="AD333" s="53" t="s">
        <v>6</v>
      </c>
      <c r="AE333" s="37"/>
    </row>
    <row r="334" spans="1:31" ht="33" customHeight="1" x14ac:dyDescent="0.3">
      <c r="A334" s="103">
        <v>45875</v>
      </c>
      <c r="B334" s="111">
        <f t="shared" si="62"/>
        <v>330</v>
      </c>
      <c r="C334" s="22" t="s">
        <v>1136</v>
      </c>
      <c r="D334" s="22" t="s">
        <v>122</v>
      </c>
      <c r="E334" s="21" t="s">
        <v>1106</v>
      </c>
      <c r="F334" s="21" t="s">
        <v>1104</v>
      </c>
      <c r="G334" s="81" t="s">
        <v>537</v>
      </c>
      <c r="H334" s="127" t="str">
        <f t="shared" si="65"/>
        <v>ATENDIDO</v>
      </c>
      <c r="I334" s="111" t="s">
        <v>21</v>
      </c>
      <c r="J334" s="24" t="s">
        <v>10</v>
      </c>
      <c r="K334" s="24" t="s">
        <v>124</v>
      </c>
      <c r="L334" s="24" t="s">
        <v>87</v>
      </c>
      <c r="M334" s="24" t="s">
        <v>95</v>
      </c>
      <c r="N334" s="24" t="s">
        <v>185</v>
      </c>
      <c r="O334" s="25" t="s">
        <v>208</v>
      </c>
      <c r="P334" s="112" t="s">
        <v>463</v>
      </c>
      <c r="Q334" s="24" t="s">
        <v>1002</v>
      </c>
      <c r="R334" s="82">
        <f>Tabla1[[#This Row],[Origin Date ]]+3</f>
        <v>45878</v>
      </c>
      <c r="S334" s="2">
        <v>45876</v>
      </c>
      <c r="T334" s="83">
        <f t="shared" si="63"/>
        <v>-2</v>
      </c>
      <c r="U334" s="35" t="str">
        <f t="shared" si="64"/>
        <v>Realizada a Tiempo</v>
      </c>
      <c r="V334" s="24" t="str">
        <f t="shared" si="58"/>
        <v>Cerrada</v>
      </c>
      <c r="W334" s="51">
        <v>1</v>
      </c>
      <c r="X334" s="54" t="s">
        <v>1107</v>
      </c>
      <c r="Y334" s="102" t="s">
        <v>452</v>
      </c>
      <c r="Z334" s="36">
        <v>30</v>
      </c>
      <c r="AA334" s="36" t="s">
        <v>52</v>
      </c>
      <c r="AB334" s="52">
        <f>Tabla1[[#This Row],[Fecha de Entrega
End Date]]+$Z334</f>
        <v>45906</v>
      </c>
      <c r="AC334" s="84" t="s">
        <v>1108</v>
      </c>
      <c r="AD334" s="53" t="s">
        <v>386</v>
      </c>
      <c r="AE334" s="37"/>
    </row>
    <row r="335" spans="1:31" ht="43.95" customHeight="1" x14ac:dyDescent="0.3">
      <c r="A335" s="103">
        <v>45875</v>
      </c>
      <c r="B335" s="111">
        <f t="shared" si="62"/>
        <v>331</v>
      </c>
      <c r="C335" s="22" t="s">
        <v>1136</v>
      </c>
      <c r="D335" s="22" t="s">
        <v>122</v>
      </c>
      <c r="E335" s="21" t="s">
        <v>1110</v>
      </c>
      <c r="F335" s="21" t="s">
        <v>1109</v>
      </c>
      <c r="G335" s="81" t="s">
        <v>537</v>
      </c>
      <c r="H335" s="127" t="str">
        <f t="shared" si="65"/>
        <v>ALTA</v>
      </c>
      <c r="I335" s="111" t="s">
        <v>21</v>
      </c>
      <c r="J335" s="24" t="s">
        <v>10</v>
      </c>
      <c r="K335" s="24" t="s">
        <v>124</v>
      </c>
      <c r="L335" s="24" t="s">
        <v>87</v>
      </c>
      <c r="M335" s="24" t="s">
        <v>86</v>
      </c>
      <c r="N335" s="24" t="s">
        <v>185</v>
      </c>
      <c r="O335" s="25" t="s">
        <v>208</v>
      </c>
      <c r="P335" s="112" t="s">
        <v>463</v>
      </c>
      <c r="Q335" s="24" t="s">
        <v>229</v>
      </c>
      <c r="R335" s="82">
        <f>Tabla1[[#This Row],[Origin Date ]]+3</f>
        <v>45878</v>
      </c>
      <c r="S335" s="2"/>
      <c r="T335" s="83" t="str">
        <f t="shared" ref="T335:T365" si="66">IF((R335=""),"",IF((V335="Cerrada"),(S335-R335),IF((($AA$2-R335)&lt;=0),"-",($AA$2-R335))))</f>
        <v>-</v>
      </c>
      <c r="U335" s="35" t="str">
        <f t="shared" ref="U335:U365" ca="1" si="67">IF((R335=""),"",IF((V335="Cerrada"),"Realizada a Tiempo",IF(OR((($AB$2-R335)=0),(($AB$2-R335)=-1),(($AB$2-R335)=-2),(($AB$2-R335)=-3)),"Tiempo Límite",IF((T335="&gt;9"),"En Proceso","Atrasada"))))</f>
        <v>Atrasada</v>
      </c>
      <c r="V335" s="24" t="str">
        <f t="shared" si="58"/>
        <v>Abierta</v>
      </c>
      <c r="W335" s="51">
        <v>0.4</v>
      </c>
      <c r="X335" s="54"/>
      <c r="Y335" s="102" t="s">
        <v>58</v>
      </c>
      <c r="Z335" s="36">
        <v>30</v>
      </c>
      <c r="AA335" s="36" t="s">
        <v>52</v>
      </c>
      <c r="AB335" s="52">
        <f>Tabla1[[#This Row],[Fecha de Entrega
End Date]]+$Z335</f>
        <v>30</v>
      </c>
      <c r="AC335" s="44"/>
      <c r="AD335" s="53" t="s">
        <v>6</v>
      </c>
      <c r="AE335" s="37"/>
    </row>
    <row r="336" spans="1:31" ht="27" customHeight="1" x14ac:dyDescent="0.3">
      <c r="A336" s="103">
        <v>45875</v>
      </c>
      <c r="B336" s="111">
        <f t="shared" si="62"/>
        <v>332</v>
      </c>
      <c r="C336" s="22" t="s">
        <v>1136</v>
      </c>
      <c r="D336" s="22" t="s">
        <v>102</v>
      </c>
      <c r="E336" s="21" t="s">
        <v>1118</v>
      </c>
      <c r="F336" s="21" t="s">
        <v>1111</v>
      </c>
      <c r="G336" s="81" t="s">
        <v>537</v>
      </c>
      <c r="H336" s="127" t="str">
        <f t="shared" si="65"/>
        <v>ALTA</v>
      </c>
      <c r="I336" s="111" t="s">
        <v>21</v>
      </c>
      <c r="J336" s="24" t="s">
        <v>10</v>
      </c>
      <c r="K336" s="24" t="s">
        <v>124</v>
      </c>
      <c r="L336" s="24" t="s">
        <v>87</v>
      </c>
      <c r="M336" s="24" t="s">
        <v>86</v>
      </c>
      <c r="N336" s="24" t="s">
        <v>185</v>
      </c>
      <c r="O336" s="25" t="s">
        <v>208</v>
      </c>
      <c r="P336" s="112" t="s">
        <v>463</v>
      </c>
      <c r="Q336" s="24" t="s">
        <v>229</v>
      </c>
      <c r="R336" s="82">
        <f>Tabla1[[#This Row],[Origin Date ]]+3</f>
        <v>45878</v>
      </c>
      <c r="S336" s="2"/>
      <c r="T336" s="83" t="str">
        <f t="shared" si="66"/>
        <v>-</v>
      </c>
      <c r="U336" s="35" t="str">
        <f t="shared" ca="1" si="67"/>
        <v>Atrasada</v>
      </c>
      <c r="V336" s="24" t="str">
        <f t="shared" si="58"/>
        <v>Abierta</v>
      </c>
      <c r="W336" s="51">
        <v>0.2</v>
      </c>
      <c r="X336" s="54"/>
      <c r="Y336" s="102" t="s">
        <v>58</v>
      </c>
      <c r="Z336" s="36">
        <v>7</v>
      </c>
      <c r="AA336" s="36" t="s">
        <v>52</v>
      </c>
      <c r="AB336" s="52">
        <f>Tabla1[[#This Row],[Fecha de Entrega
End Date]]+$Z336</f>
        <v>7</v>
      </c>
      <c r="AC336" s="44"/>
      <c r="AD336" s="53" t="s">
        <v>6</v>
      </c>
      <c r="AE336" s="37"/>
    </row>
    <row r="337" spans="1:31" ht="37.200000000000003" customHeight="1" x14ac:dyDescent="0.3">
      <c r="A337" s="103">
        <v>45875</v>
      </c>
      <c r="B337" s="111">
        <f t="shared" si="62"/>
        <v>333</v>
      </c>
      <c r="C337" s="22" t="s">
        <v>1136</v>
      </c>
      <c r="D337" s="22" t="s">
        <v>122</v>
      </c>
      <c r="E337" s="21" t="s">
        <v>1113</v>
      </c>
      <c r="F337" s="21" t="s">
        <v>1112</v>
      </c>
      <c r="G337" s="81" t="s">
        <v>537</v>
      </c>
      <c r="H337" s="127" t="str">
        <f t="shared" si="65"/>
        <v>ATENDIDO</v>
      </c>
      <c r="I337" s="111" t="s">
        <v>21</v>
      </c>
      <c r="J337" s="24" t="s">
        <v>10</v>
      </c>
      <c r="K337" s="24" t="s">
        <v>124</v>
      </c>
      <c r="L337" s="24" t="s">
        <v>87</v>
      </c>
      <c r="M337" s="24" t="s">
        <v>86</v>
      </c>
      <c r="N337" s="24" t="s">
        <v>185</v>
      </c>
      <c r="O337" s="25" t="s">
        <v>208</v>
      </c>
      <c r="P337" s="112" t="s">
        <v>463</v>
      </c>
      <c r="Q337" s="24" t="s">
        <v>229</v>
      </c>
      <c r="R337" s="82">
        <f>Tabla1[[#This Row],[Origin Date ]]+3</f>
        <v>45878</v>
      </c>
      <c r="S337" s="2">
        <v>45877</v>
      </c>
      <c r="T337" s="83">
        <f t="shared" si="66"/>
        <v>-1</v>
      </c>
      <c r="U337" s="35" t="str">
        <f t="shared" si="67"/>
        <v>Realizada a Tiempo</v>
      </c>
      <c r="V337" s="24" t="str">
        <f t="shared" si="58"/>
        <v>Cerrada</v>
      </c>
      <c r="W337" s="51">
        <v>1</v>
      </c>
      <c r="X337" s="54" t="s">
        <v>1119</v>
      </c>
      <c r="Y337" s="102" t="s">
        <v>58</v>
      </c>
      <c r="Z337" s="36">
        <v>365</v>
      </c>
      <c r="AA337" s="36" t="s">
        <v>51</v>
      </c>
      <c r="AB337" s="52">
        <f>Tabla1[[#This Row],[Fecha de Entrega
End Date]]+$Z337</f>
        <v>46242</v>
      </c>
      <c r="AC337" s="44"/>
      <c r="AD337" s="53" t="s">
        <v>386</v>
      </c>
      <c r="AE337" s="37"/>
    </row>
    <row r="338" spans="1:31" ht="24.6" customHeight="1" x14ac:dyDescent="0.3">
      <c r="A338" s="103">
        <v>45877</v>
      </c>
      <c r="B338" s="111">
        <f t="shared" si="62"/>
        <v>334</v>
      </c>
      <c r="C338" s="22" t="s">
        <v>1136</v>
      </c>
      <c r="D338" s="22" t="s">
        <v>122</v>
      </c>
      <c r="E338" s="21" t="s">
        <v>1114</v>
      </c>
      <c r="F338" s="21" t="s">
        <v>1123</v>
      </c>
      <c r="G338" s="81" t="s">
        <v>537</v>
      </c>
      <c r="H338" s="127" t="str">
        <f t="shared" si="65"/>
        <v>ATENDIDO</v>
      </c>
      <c r="I338" s="111" t="s">
        <v>21</v>
      </c>
      <c r="J338" s="24" t="s">
        <v>10</v>
      </c>
      <c r="K338" s="24" t="s">
        <v>124</v>
      </c>
      <c r="L338" s="24" t="s">
        <v>87</v>
      </c>
      <c r="M338" s="24" t="s">
        <v>86</v>
      </c>
      <c r="N338" s="24" t="s">
        <v>185</v>
      </c>
      <c r="O338" s="25" t="s">
        <v>208</v>
      </c>
      <c r="P338" s="112" t="s">
        <v>463</v>
      </c>
      <c r="Q338" s="24" t="s">
        <v>1002</v>
      </c>
      <c r="R338" s="82">
        <f>Tabla1[[#This Row],[Origin Date ]]+3</f>
        <v>45880</v>
      </c>
      <c r="S338" s="2">
        <v>45880</v>
      </c>
      <c r="T338" s="83">
        <f t="shared" si="66"/>
        <v>0</v>
      </c>
      <c r="U338" s="35" t="str">
        <f t="shared" si="67"/>
        <v>Realizada a Tiempo</v>
      </c>
      <c r="V338" s="24" t="str">
        <f t="shared" si="58"/>
        <v>Cerrada</v>
      </c>
      <c r="W338" s="51">
        <v>0.8</v>
      </c>
      <c r="X338" s="54" t="s">
        <v>1124</v>
      </c>
      <c r="Y338" s="102" t="s">
        <v>58</v>
      </c>
      <c r="Z338" s="36">
        <v>30</v>
      </c>
      <c r="AA338" s="36" t="s">
        <v>52</v>
      </c>
      <c r="AB338" s="52">
        <f>Tabla1[[#This Row],[Fecha de Entrega
End Date]]+$Z338</f>
        <v>45910</v>
      </c>
      <c r="AC338" s="45" t="s">
        <v>901</v>
      </c>
      <c r="AD338" s="53" t="s">
        <v>386</v>
      </c>
      <c r="AE338" s="37"/>
    </row>
    <row r="339" spans="1:31" ht="27.6" customHeight="1" x14ac:dyDescent="0.3">
      <c r="A339" s="103">
        <v>45880</v>
      </c>
      <c r="B339" s="111">
        <f t="shared" si="62"/>
        <v>335</v>
      </c>
      <c r="C339" s="22" t="s">
        <v>1136</v>
      </c>
      <c r="D339" s="22" t="s">
        <v>114</v>
      </c>
      <c r="E339" s="21" t="s">
        <v>1130</v>
      </c>
      <c r="F339" s="21" t="s">
        <v>1129</v>
      </c>
      <c r="G339" s="81" t="s">
        <v>1133</v>
      </c>
      <c r="H339" s="127" t="str">
        <f t="shared" si="65"/>
        <v>ALTA</v>
      </c>
      <c r="I339" s="111" t="s">
        <v>61</v>
      </c>
      <c r="J339" s="24" t="s">
        <v>10</v>
      </c>
      <c r="K339" s="24" t="s">
        <v>116</v>
      </c>
      <c r="L339" s="24" t="s">
        <v>87</v>
      </c>
      <c r="M339" s="24" t="s">
        <v>86</v>
      </c>
      <c r="N339" s="24" t="s">
        <v>209</v>
      </c>
      <c r="O339" s="25" t="s">
        <v>208</v>
      </c>
      <c r="P339" s="112" t="s">
        <v>463</v>
      </c>
      <c r="Q339" s="24" t="s">
        <v>93</v>
      </c>
      <c r="R339" s="82">
        <f>Tabla1[[#This Row],[Origin Date ]]+3</f>
        <v>45883</v>
      </c>
      <c r="S339" s="2"/>
      <c r="T339" s="83" t="str">
        <f t="shared" si="66"/>
        <v>-</v>
      </c>
      <c r="U339" s="35" t="str">
        <f t="shared" ca="1" si="67"/>
        <v>Atrasada</v>
      </c>
      <c r="V339" s="24" t="str">
        <f t="shared" si="58"/>
        <v>Abierta</v>
      </c>
      <c r="W339" s="51">
        <v>0.2</v>
      </c>
      <c r="X339" s="54"/>
      <c r="Y339" s="102" t="s">
        <v>58</v>
      </c>
      <c r="Z339" s="36"/>
      <c r="AA339" s="36"/>
      <c r="AB339" s="52">
        <f>Tabla1[[#This Row],[Fecha de Entrega
End Date]]+$Z339</f>
        <v>0</v>
      </c>
      <c r="AC339" s="44"/>
      <c r="AD339" s="53" t="s">
        <v>6</v>
      </c>
      <c r="AE339" s="37"/>
    </row>
    <row r="340" spans="1:31" ht="30" customHeight="1" x14ac:dyDescent="0.3">
      <c r="A340" s="103">
        <v>45880</v>
      </c>
      <c r="B340" s="111">
        <f t="shared" si="62"/>
        <v>336</v>
      </c>
      <c r="C340" s="22" t="s">
        <v>1136</v>
      </c>
      <c r="D340" s="22" t="s">
        <v>122</v>
      </c>
      <c r="E340" s="21" t="s">
        <v>1132</v>
      </c>
      <c r="F340" s="21" t="s">
        <v>1131</v>
      </c>
      <c r="G340" s="81" t="s">
        <v>537</v>
      </c>
      <c r="H340" s="127" t="str">
        <f t="shared" si="65"/>
        <v>ALTA</v>
      </c>
      <c r="I340" s="111" t="s">
        <v>21</v>
      </c>
      <c r="J340" s="24" t="s">
        <v>10</v>
      </c>
      <c r="K340" s="24" t="s">
        <v>124</v>
      </c>
      <c r="L340" s="24" t="s">
        <v>87</v>
      </c>
      <c r="M340" s="24" t="s">
        <v>95</v>
      </c>
      <c r="N340" s="24" t="s">
        <v>185</v>
      </c>
      <c r="O340" s="25" t="s">
        <v>208</v>
      </c>
      <c r="P340" s="112" t="s">
        <v>463</v>
      </c>
      <c r="Q340" s="24" t="s">
        <v>229</v>
      </c>
      <c r="R340" s="82">
        <f>Tabla1[[#This Row],[Origin Date ]]+3</f>
        <v>45883</v>
      </c>
      <c r="S340" s="2"/>
      <c r="T340" s="83" t="str">
        <f t="shared" si="66"/>
        <v>-</v>
      </c>
      <c r="U340" s="35" t="str">
        <f t="shared" ca="1" si="67"/>
        <v>Atrasada</v>
      </c>
      <c r="V340" s="24" t="str">
        <f t="shared" si="58"/>
        <v>Abierta</v>
      </c>
      <c r="W340" s="51">
        <v>0.2</v>
      </c>
      <c r="X340" s="54"/>
      <c r="Y340" s="102" t="s">
        <v>58</v>
      </c>
      <c r="Z340" s="36"/>
      <c r="AA340" s="36"/>
      <c r="AB340" s="52">
        <f>Tabla1[[#This Row],[Fecha de Entrega
End Date]]+$Z340</f>
        <v>0</v>
      </c>
      <c r="AC340" s="44"/>
      <c r="AD340" s="53" t="s">
        <v>6</v>
      </c>
      <c r="AE340" s="37"/>
    </row>
    <row r="341" spans="1:31" ht="39.6" x14ac:dyDescent="0.3">
      <c r="A341" s="103">
        <v>45880</v>
      </c>
      <c r="B341" s="111">
        <f t="shared" si="62"/>
        <v>337</v>
      </c>
      <c r="C341" s="22" t="s">
        <v>1136</v>
      </c>
      <c r="D341" s="22" t="s">
        <v>124</v>
      </c>
      <c r="E341" s="21" t="s">
        <v>1137</v>
      </c>
      <c r="F341" s="21" t="s">
        <v>1138</v>
      </c>
      <c r="G341" s="81" t="s">
        <v>1139</v>
      </c>
      <c r="H341" s="127" t="str">
        <f t="shared" si="65"/>
        <v>ATENDIDO</v>
      </c>
      <c r="I341" s="111" t="s">
        <v>13</v>
      </c>
      <c r="J341" s="24" t="s">
        <v>9</v>
      </c>
      <c r="K341" s="24" t="s">
        <v>124</v>
      </c>
      <c r="L341" s="24" t="s">
        <v>87</v>
      </c>
      <c r="M341" s="24" t="s">
        <v>86</v>
      </c>
      <c r="N341" s="24" t="s">
        <v>185</v>
      </c>
      <c r="O341" s="25" t="s">
        <v>208</v>
      </c>
      <c r="P341" s="112" t="s">
        <v>463</v>
      </c>
      <c r="Q341" s="24" t="s">
        <v>229</v>
      </c>
      <c r="R341" s="82">
        <f>Tabla1[[#This Row],[Origin Date ]]+3</f>
        <v>45883</v>
      </c>
      <c r="S341" s="2">
        <v>45884</v>
      </c>
      <c r="T341" s="83">
        <f t="shared" si="66"/>
        <v>1</v>
      </c>
      <c r="U341" s="35" t="str">
        <f t="shared" si="67"/>
        <v>Realizada a Tiempo</v>
      </c>
      <c r="V341" s="24" t="str">
        <f t="shared" si="58"/>
        <v>Cerrada</v>
      </c>
      <c r="W341" s="51">
        <v>1</v>
      </c>
      <c r="X341" s="54"/>
      <c r="Y341" s="102" t="s">
        <v>58</v>
      </c>
      <c r="Z341" s="36">
        <v>30</v>
      </c>
      <c r="AA341" s="36" t="s">
        <v>51</v>
      </c>
      <c r="AB341" s="52">
        <f>Tabla1[[#This Row],[Fecha de Entrega
End Date]]+$Z341</f>
        <v>45914</v>
      </c>
      <c r="AC341" s="44"/>
      <c r="AD341" s="53" t="s">
        <v>386</v>
      </c>
      <c r="AE341" s="37" t="s">
        <v>1140</v>
      </c>
    </row>
    <row r="342" spans="1:31" ht="26.4" x14ac:dyDescent="0.3">
      <c r="A342" s="103">
        <v>45880</v>
      </c>
      <c r="B342" s="111">
        <f t="shared" si="62"/>
        <v>338</v>
      </c>
      <c r="C342" s="22" t="s">
        <v>1141</v>
      </c>
      <c r="D342" s="22" t="s">
        <v>125</v>
      </c>
      <c r="E342" s="21" t="s">
        <v>1142</v>
      </c>
      <c r="F342" s="21" t="s">
        <v>1143</v>
      </c>
      <c r="G342" s="81" t="s">
        <v>1144</v>
      </c>
      <c r="H342" s="127" t="str">
        <f t="shared" si="65"/>
        <v>ALTA</v>
      </c>
      <c r="I342" s="111" t="s">
        <v>13</v>
      </c>
      <c r="J342" s="24" t="s">
        <v>10</v>
      </c>
      <c r="K342" s="24" t="s">
        <v>1145</v>
      </c>
      <c r="L342" s="24" t="s">
        <v>87</v>
      </c>
      <c r="M342" s="24" t="s">
        <v>86</v>
      </c>
      <c r="N342" s="24" t="s">
        <v>190</v>
      </c>
      <c r="O342" s="25" t="s">
        <v>208</v>
      </c>
      <c r="P342" s="112" t="s">
        <v>463</v>
      </c>
      <c r="Q342" s="24" t="s">
        <v>93</v>
      </c>
      <c r="R342" s="82">
        <f>Tabla1[[#This Row],[Origin Date ]]+3</f>
        <v>45883</v>
      </c>
      <c r="S342" s="2"/>
      <c r="T342" s="83" t="str">
        <f t="shared" si="66"/>
        <v>-</v>
      </c>
      <c r="U342" s="35" t="str">
        <f t="shared" ca="1" si="67"/>
        <v>Atrasada</v>
      </c>
      <c r="V342" s="24" t="str">
        <f t="shared" si="58"/>
        <v>Abierta</v>
      </c>
      <c r="W342" s="51">
        <v>0.6</v>
      </c>
      <c r="X342" s="54"/>
      <c r="Y342" s="102" t="s">
        <v>58</v>
      </c>
      <c r="Z342" s="36">
        <v>30</v>
      </c>
      <c r="AA342" s="36" t="s">
        <v>52</v>
      </c>
      <c r="AB342" s="52">
        <f>Tabla1[[#This Row],[Fecha de Entrega
End Date]]+$Z342</f>
        <v>30</v>
      </c>
      <c r="AC342" s="44"/>
      <c r="AD342" s="53" t="s">
        <v>6</v>
      </c>
      <c r="AE342" s="37" t="s">
        <v>1146</v>
      </c>
    </row>
    <row r="343" spans="1:31" ht="52.8" x14ac:dyDescent="0.3">
      <c r="A343" s="103">
        <v>45880</v>
      </c>
      <c r="B343" s="111">
        <f t="shared" si="62"/>
        <v>339</v>
      </c>
      <c r="C343" s="22" t="s">
        <v>1147</v>
      </c>
      <c r="D343" s="22" t="s">
        <v>116</v>
      </c>
      <c r="E343" s="21" t="s">
        <v>1148</v>
      </c>
      <c r="F343" s="21" t="s">
        <v>1149</v>
      </c>
      <c r="G343" s="81" t="s">
        <v>1150</v>
      </c>
      <c r="H343" s="127" t="str">
        <f t="shared" si="65"/>
        <v>ATENDIDO</v>
      </c>
      <c r="I343" s="111" t="s">
        <v>13</v>
      </c>
      <c r="J343" s="24" t="s">
        <v>8</v>
      </c>
      <c r="K343" s="24" t="s">
        <v>1145</v>
      </c>
      <c r="L343" s="24" t="s">
        <v>87</v>
      </c>
      <c r="M343" s="24" t="s">
        <v>86</v>
      </c>
      <c r="N343" s="24" t="s">
        <v>190</v>
      </c>
      <c r="O343" s="25" t="s">
        <v>208</v>
      </c>
      <c r="P343" s="112" t="s">
        <v>1151</v>
      </c>
      <c r="Q343" s="24" t="s">
        <v>93</v>
      </c>
      <c r="R343" s="82">
        <f>Tabla1[[#This Row],[Origin Date ]]+3</f>
        <v>45883</v>
      </c>
      <c r="S343" s="2">
        <v>45884</v>
      </c>
      <c r="T343" s="83">
        <f t="shared" si="66"/>
        <v>1</v>
      </c>
      <c r="U343" s="35" t="str">
        <f t="shared" si="67"/>
        <v>Realizada a Tiempo</v>
      </c>
      <c r="V343" s="24" t="str">
        <f t="shared" si="58"/>
        <v>Cerrada</v>
      </c>
      <c r="W343" s="51">
        <v>0.8</v>
      </c>
      <c r="X343" s="54"/>
      <c r="Y343" s="102" t="s">
        <v>452</v>
      </c>
      <c r="Z343" s="36">
        <v>30</v>
      </c>
      <c r="AA343" s="36" t="s">
        <v>51</v>
      </c>
      <c r="AB343" s="52">
        <f>Tabla1[[#This Row],[Fecha de Entrega
End Date]]+$Z343</f>
        <v>45914</v>
      </c>
      <c r="AC343" s="44"/>
      <c r="AD343" s="53" t="s">
        <v>384</v>
      </c>
      <c r="AE343" s="37" t="s">
        <v>1152</v>
      </c>
    </row>
    <row r="344" spans="1:31" ht="39.6" x14ac:dyDescent="0.3">
      <c r="A344" s="103">
        <v>45881</v>
      </c>
      <c r="B344" s="111">
        <f t="shared" si="62"/>
        <v>340</v>
      </c>
      <c r="C344" s="22" t="s">
        <v>1153</v>
      </c>
      <c r="D344" s="22" t="s">
        <v>125</v>
      </c>
      <c r="E344" s="21" t="s">
        <v>1154</v>
      </c>
      <c r="F344" s="21" t="s">
        <v>1155</v>
      </c>
      <c r="G344" s="81" t="s">
        <v>1144</v>
      </c>
      <c r="H344" s="127" t="str">
        <f t="shared" si="65"/>
        <v>ALTA</v>
      </c>
      <c r="I344" s="111" t="s">
        <v>13</v>
      </c>
      <c r="J344" s="24" t="s">
        <v>10</v>
      </c>
      <c r="K344" s="24" t="s">
        <v>1145</v>
      </c>
      <c r="L344" s="24" t="s">
        <v>87</v>
      </c>
      <c r="M344" s="24" t="s">
        <v>86</v>
      </c>
      <c r="N344" s="24" t="s">
        <v>190</v>
      </c>
      <c r="O344" s="25" t="s">
        <v>208</v>
      </c>
      <c r="P344" s="112" t="s">
        <v>463</v>
      </c>
      <c r="Q344" s="24" t="s">
        <v>93</v>
      </c>
      <c r="R344" s="82">
        <f>Tabla1[[#This Row],[Origin Date ]]+3</f>
        <v>45884</v>
      </c>
      <c r="S344" s="2"/>
      <c r="T344" s="83" t="str">
        <f t="shared" si="66"/>
        <v>-</v>
      </c>
      <c r="U344" s="35" t="str">
        <f t="shared" ca="1" si="67"/>
        <v>Atrasada</v>
      </c>
      <c r="V344" s="24" t="str">
        <f t="shared" si="58"/>
        <v>Abierta</v>
      </c>
      <c r="W344" s="51">
        <v>0.3</v>
      </c>
      <c r="X344" s="54"/>
      <c r="Y344" s="102" t="s">
        <v>57</v>
      </c>
      <c r="Z344" s="36">
        <v>30</v>
      </c>
      <c r="AA344" s="36"/>
      <c r="AB344" s="52">
        <f>Tabla1[[#This Row],[Fecha de Entrega
End Date]]+$Z344</f>
        <v>30</v>
      </c>
      <c r="AC344" s="44"/>
      <c r="AD344" s="53" t="s">
        <v>243</v>
      </c>
      <c r="AE344" s="37" t="s">
        <v>1156</v>
      </c>
    </row>
    <row r="345" spans="1:31" ht="26.4" x14ac:dyDescent="0.3">
      <c r="A345" s="103">
        <v>45881</v>
      </c>
      <c r="B345" s="111">
        <f t="shared" si="62"/>
        <v>341</v>
      </c>
      <c r="C345" s="22" t="s">
        <v>1136</v>
      </c>
      <c r="D345" s="22" t="s">
        <v>124</v>
      </c>
      <c r="E345" s="21" t="s">
        <v>1157</v>
      </c>
      <c r="F345" s="21" t="s">
        <v>1158</v>
      </c>
      <c r="G345" s="81" t="s">
        <v>1159</v>
      </c>
      <c r="H345" s="127" t="str">
        <f t="shared" si="65"/>
        <v>ALTA</v>
      </c>
      <c r="I345" s="111" t="s">
        <v>22</v>
      </c>
      <c r="J345" s="24" t="s">
        <v>11</v>
      </c>
      <c r="K345" s="24" t="s">
        <v>1145</v>
      </c>
      <c r="L345" s="24" t="s">
        <v>80</v>
      </c>
      <c r="M345" s="24" t="s">
        <v>82</v>
      </c>
      <c r="N345" s="24" t="s">
        <v>211</v>
      </c>
      <c r="O345" s="25" t="s">
        <v>208</v>
      </c>
      <c r="P345" s="112" t="s">
        <v>463</v>
      </c>
      <c r="Q345" s="24" t="s">
        <v>93</v>
      </c>
      <c r="R345" s="82">
        <f>Tabla1[[#This Row],[Origin Date ]]+3</f>
        <v>45884</v>
      </c>
      <c r="S345" s="2"/>
      <c r="T345" s="83" t="str">
        <f t="shared" si="66"/>
        <v>-</v>
      </c>
      <c r="U345" s="35" t="str">
        <f t="shared" ca="1" si="67"/>
        <v>Atrasada</v>
      </c>
      <c r="V345" s="24" t="str">
        <f t="shared" si="58"/>
        <v>Abierta</v>
      </c>
      <c r="W345" s="51">
        <v>0.8</v>
      </c>
      <c r="X345" s="54"/>
      <c r="Y345" s="102" t="s">
        <v>88</v>
      </c>
      <c r="Z345" s="36">
        <v>30</v>
      </c>
      <c r="AA345" s="36"/>
      <c r="AB345" s="52">
        <f>Tabla1[[#This Row],[Fecha de Entrega
End Date]]+$Z345</f>
        <v>30</v>
      </c>
      <c r="AC345" s="44"/>
      <c r="AD345" s="53" t="s">
        <v>814</v>
      </c>
      <c r="AE345" s="37" t="s">
        <v>1160</v>
      </c>
    </row>
    <row r="346" spans="1:31" ht="39.6" x14ac:dyDescent="0.3">
      <c r="A346" s="103">
        <v>45881</v>
      </c>
      <c r="B346" s="111">
        <f t="shared" si="62"/>
        <v>342</v>
      </c>
      <c r="C346" s="22" t="s">
        <v>1161</v>
      </c>
      <c r="D346" s="22" t="s">
        <v>17</v>
      </c>
      <c r="E346" s="21" t="s">
        <v>1162</v>
      </c>
      <c r="F346" s="21" t="s">
        <v>1166</v>
      </c>
      <c r="G346" s="81" t="s">
        <v>1159</v>
      </c>
      <c r="H346" s="127" t="str">
        <f t="shared" si="65"/>
        <v>ATENDIDO</v>
      </c>
      <c r="I346" s="111" t="s">
        <v>22</v>
      </c>
      <c r="J346" s="24" t="s">
        <v>10</v>
      </c>
      <c r="K346" s="24" t="s">
        <v>1145</v>
      </c>
      <c r="L346" s="24" t="s">
        <v>87</v>
      </c>
      <c r="M346" s="24" t="s">
        <v>86</v>
      </c>
      <c r="N346" s="24" t="s">
        <v>190</v>
      </c>
      <c r="O346" s="25" t="s">
        <v>208</v>
      </c>
      <c r="P346" s="112" t="s">
        <v>1163</v>
      </c>
      <c r="Q346" s="24" t="s">
        <v>93</v>
      </c>
      <c r="R346" s="82">
        <f>Tabla1[[#This Row],[Origin Date ]]+3</f>
        <v>45884</v>
      </c>
      <c r="S346" s="2">
        <v>45884</v>
      </c>
      <c r="T346" s="83">
        <f t="shared" si="66"/>
        <v>0</v>
      </c>
      <c r="U346" s="35" t="str">
        <f t="shared" si="67"/>
        <v>Realizada a Tiempo</v>
      </c>
      <c r="V346" s="24" t="str">
        <f t="shared" ref="V346:V409" si="68">IF((R346=""),"",IF((S346=""),"Abierta","Cerrada"))</f>
        <v>Cerrada</v>
      </c>
      <c r="W346" s="51">
        <v>0.8</v>
      </c>
      <c r="X346" s="54"/>
      <c r="Y346" s="102" t="s">
        <v>58</v>
      </c>
      <c r="Z346" s="36">
        <v>15</v>
      </c>
      <c r="AA346" s="36" t="s">
        <v>50</v>
      </c>
      <c r="AB346" s="52">
        <f>Tabla1[[#This Row],[Fecha de Entrega
End Date]]+$Z346</f>
        <v>45899</v>
      </c>
      <c r="AC346" s="44"/>
      <c r="AD346" s="53" t="s">
        <v>384</v>
      </c>
      <c r="AE346" s="37"/>
    </row>
    <row r="347" spans="1:31" ht="39.6" x14ac:dyDescent="0.3">
      <c r="A347" s="103">
        <v>45882</v>
      </c>
      <c r="B347" s="111">
        <f t="shared" si="62"/>
        <v>343</v>
      </c>
      <c r="C347" s="22" t="s">
        <v>1161</v>
      </c>
      <c r="D347" s="22" t="s">
        <v>17</v>
      </c>
      <c r="E347" s="21" t="s">
        <v>1164</v>
      </c>
      <c r="F347" s="21" t="s">
        <v>1165</v>
      </c>
      <c r="G347" s="81" t="s">
        <v>1167</v>
      </c>
      <c r="H347" s="127" t="str">
        <f t="shared" si="65"/>
        <v>ATENDIDO</v>
      </c>
      <c r="I347" s="111" t="s">
        <v>22</v>
      </c>
      <c r="J347" s="24" t="s">
        <v>8</v>
      </c>
      <c r="K347" s="24" t="s">
        <v>1145</v>
      </c>
      <c r="L347" s="24" t="s">
        <v>87</v>
      </c>
      <c r="M347" s="24" t="s">
        <v>86</v>
      </c>
      <c r="N347" s="24" t="s">
        <v>190</v>
      </c>
      <c r="O347" s="25" t="s">
        <v>208</v>
      </c>
      <c r="P347" s="112" t="s">
        <v>1163</v>
      </c>
      <c r="Q347" s="24" t="s">
        <v>93</v>
      </c>
      <c r="R347" s="82">
        <f>Tabla1[[#This Row],[Origin Date ]]+3</f>
        <v>45885</v>
      </c>
      <c r="S347" s="2">
        <v>45884</v>
      </c>
      <c r="T347" s="83">
        <f t="shared" si="66"/>
        <v>-1</v>
      </c>
      <c r="U347" s="35" t="str">
        <f t="shared" si="67"/>
        <v>Realizada a Tiempo</v>
      </c>
      <c r="V347" s="24" t="str">
        <f t="shared" si="68"/>
        <v>Cerrada</v>
      </c>
      <c r="W347" s="51">
        <v>0.8</v>
      </c>
      <c r="X347" s="54"/>
      <c r="Y347" s="102" t="s">
        <v>58</v>
      </c>
      <c r="Z347" s="36">
        <v>15</v>
      </c>
      <c r="AA347" s="36" t="s">
        <v>50</v>
      </c>
      <c r="AB347" s="52">
        <f>Tabla1[[#This Row],[Fecha de Entrega
End Date]]+$Z347</f>
        <v>45899</v>
      </c>
      <c r="AC347" s="44"/>
      <c r="AD347" s="53" t="s">
        <v>384</v>
      </c>
      <c r="AE347" s="37"/>
    </row>
    <row r="348" spans="1:31" ht="39.6" x14ac:dyDescent="0.3">
      <c r="A348" s="103">
        <v>45882</v>
      </c>
      <c r="B348" s="111">
        <f t="shared" si="62"/>
        <v>344</v>
      </c>
      <c r="C348" s="22" t="s">
        <v>1168</v>
      </c>
      <c r="D348" s="22" t="s">
        <v>17</v>
      </c>
      <c r="E348" s="21" t="s">
        <v>1169</v>
      </c>
      <c r="F348" s="21" t="s">
        <v>1170</v>
      </c>
      <c r="G348" s="81" t="s">
        <v>1171</v>
      </c>
      <c r="H348" s="127" t="str">
        <f t="shared" si="65"/>
        <v>ATENDIDO</v>
      </c>
      <c r="I348" s="111" t="s">
        <v>22</v>
      </c>
      <c r="J348" s="24" t="s">
        <v>10</v>
      </c>
      <c r="K348" s="24" t="s">
        <v>1145</v>
      </c>
      <c r="L348" s="24" t="s">
        <v>87</v>
      </c>
      <c r="M348" s="24" t="s">
        <v>86</v>
      </c>
      <c r="N348" s="24" t="s">
        <v>190</v>
      </c>
      <c r="O348" s="25" t="s">
        <v>208</v>
      </c>
      <c r="P348" s="112" t="s">
        <v>463</v>
      </c>
      <c r="Q348" s="24" t="s">
        <v>93</v>
      </c>
      <c r="R348" s="82">
        <f>Tabla1[[#This Row],[Origin Date ]]+3</f>
        <v>45885</v>
      </c>
      <c r="S348" s="2">
        <v>45889</v>
      </c>
      <c r="T348" s="83">
        <f t="shared" si="66"/>
        <v>4</v>
      </c>
      <c r="U348" s="35" t="str">
        <f t="shared" si="67"/>
        <v>Realizada a Tiempo</v>
      </c>
      <c r="V348" s="24" t="str">
        <f t="shared" si="68"/>
        <v>Cerrada</v>
      </c>
      <c r="W348" s="51">
        <v>0.8</v>
      </c>
      <c r="X348" s="54"/>
      <c r="Y348" s="102" t="s">
        <v>58</v>
      </c>
      <c r="Z348" s="36">
        <v>15</v>
      </c>
      <c r="AA348" s="36" t="s">
        <v>51</v>
      </c>
      <c r="AB348" s="52">
        <f>Tabla1[[#This Row],[Fecha de Entrega
End Date]]+$Z348</f>
        <v>45904</v>
      </c>
      <c r="AC348" s="44"/>
      <c r="AD348" s="53" t="s">
        <v>384</v>
      </c>
      <c r="AE348" s="37" t="s">
        <v>1174</v>
      </c>
    </row>
    <row r="349" spans="1:31" ht="39.6" x14ac:dyDescent="0.3">
      <c r="A349" s="103">
        <v>45883</v>
      </c>
      <c r="B349" s="111">
        <f t="shared" si="62"/>
        <v>345</v>
      </c>
      <c r="C349" s="22" t="s">
        <v>1168</v>
      </c>
      <c r="D349" s="22" t="s">
        <v>17</v>
      </c>
      <c r="E349" s="21" t="s">
        <v>1172</v>
      </c>
      <c r="F349" s="21" t="s">
        <v>1173</v>
      </c>
      <c r="G349" s="81" t="s">
        <v>1171</v>
      </c>
      <c r="H349" s="127" t="str">
        <f t="shared" si="65"/>
        <v>ATENDIDO</v>
      </c>
      <c r="I349" s="111" t="s">
        <v>61</v>
      </c>
      <c r="J349" s="24" t="s">
        <v>10</v>
      </c>
      <c r="K349" s="24" t="s">
        <v>1145</v>
      </c>
      <c r="L349" s="24" t="s">
        <v>87</v>
      </c>
      <c r="M349" s="24" t="s">
        <v>86</v>
      </c>
      <c r="N349" s="24" t="s">
        <v>190</v>
      </c>
      <c r="O349" s="25" t="s">
        <v>208</v>
      </c>
      <c r="P349" s="112" t="s">
        <v>463</v>
      </c>
      <c r="Q349" s="24" t="s">
        <v>93</v>
      </c>
      <c r="R349" s="82">
        <f>Tabla1[[#This Row],[Origin Date ]]+3</f>
        <v>45886</v>
      </c>
      <c r="S349" s="2">
        <v>45891</v>
      </c>
      <c r="T349" s="83">
        <f t="shared" si="66"/>
        <v>5</v>
      </c>
      <c r="U349" s="35" t="str">
        <f t="shared" si="67"/>
        <v>Realizada a Tiempo</v>
      </c>
      <c r="V349" s="24" t="str">
        <f t="shared" si="68"/>
        <v>Cerrada</v>
      </c>
      <c r="W349" s="51">
        <v>0.8</v>
      </c>
      <c r="X349" s="54"/>
      <c r="Y349" s="102" t="s">
        <v>57</v>
      </c>
      <c r="Z349" s="36">
        <v>15</v>
      </c>
      <c r="AA349" s="36" t="s">
        <v>50</v>
      </c>
      <c r="AB349" s="52">
        <f>Tabla1[[#This Row],[Fecha de Entrega
End Date]]+$Z349</f>
        <v>45906</v>
      </c>
      <c r="AC349" s="44"/>
      <c r="AD349" s="53" t="s">
        <v>384</v>
      </c>
      <c r="AE349" s="37" t="s">
        <v>1174</v>
      </c>
    </row>
    <row r="350" spans="1:31" ht="45.75" customHeight="1" x14ac:dyDescent="0.3">
      <c r="A350" s="103">
        <v>45884</v>
      </c>
      <c r="B350" s="111">
        <f t="shared" si="62"/>
        <v>346</v>
      </c>
      <c r="C350" s="22" t="s">
        <v>1136</v>
      </c>
      <c r="D350" s="22" t="s">
        <v>114</v>
      </c>
      <c r="E350" s="21" t="s">
        <v>1175</v>
      </c>
      <c r="F350" s="21" t="s">
        <v>1176</v>
      </c>
      <c r="G350" s="81" t="s">
        <v>1159</v>
      </c>
      <c r="H350" s="127" t="str">
        <f t="shared" si="65"/>
        <v>ATENDIDO</v>
      </c>
      <c r="I350" s="111" t="s">
        <v>22</v>
      </c>
      <c r="J350" s="24" t="s">
        <v>10</v>
      </c>
      <c r="K350" s="24" t="s">
        <v>1145</v>
      </c>
      <c r="L350" s="24" t="s">
        <v>87</v>
      </c>
      <c r="M350" s="24" t="s">
        <v>86</v>
      </c>
      <c r="N350" s="24" t="s">
        <v>190</v>
      </c>
      <c r="O350" s="25" t="s">
        <v>208</v>
      </c>
      <c r="P350" s="112" t="s">
        <v>73</v>
      </c>
      <c r="Q350" s="24" t="s">
        <v>93</v>
      </c>
      <c r="R350" s="82">
        <f>Tabla1[[#This Row],[Origin Date ]]+3</f>
        <v>45887</v>
      </c>
      <c r="S350" s="2">
        <v>45891</v>
      </c>
      <c r="T350" s="83">
        <f t="shared" si="66"/>
        <v>4</v>
      </c>
      <c r="U350" s="35" t="str">
        <f t="shared" si="67"/>
        <v>Realizada a Tiempo</v>
      </c>
      <c r="V350" s="24" t="str">
        <f t="shared" si="68"/>
        <v>Cerrada</v>
      </c>
      <c r="W350" s="51">
        <v>1</v>
      </c>
      <c r="X350" s="54"/>
      <c r="Y350" s="102" t="s">
        <v>58</v>
      </c>
      <c r="Z350" s="36">
        <v>15</v>
      </c>
      <c r="AA350" s="36" t="s">
        <v>51</v>
      </c>
      <c r="AB350" s="52">
        <f>Tabla1[[#This Row],[Fecha de Entrega
End Date]]+$Z350</f>
        <v>45906</v>
      </c>
      <c r="AC350" s="44"/>
      <c r="AD350" s="53" t="s">
        <v>384</v>
      </c>
      <c r="AE350" s="37"/>
    </row>
    <row r="351" spans="1:31" ht="54.75" customHeight="1" x14ac:dyDescent="0.3">
      <c r="A351" s="103">
        <v>45884</v>
      </c>
      <c r="B351" s="111">
        <f t="shared" si="62"/>
        <v>347</v>
      </c>
      <c r="C351" s="22" t="s">
        <v>1136</v>
      </c>
      <c r="D351" s="22" t="s">
        <v>129</v>
      </c>
      <c r="E351" s="21" t="s">
        <v>1177</v>
      </c>
      <c r="F351" s="21" t="s">
        <v>1178</v>
      </c>
      <c r="G351" s="81" t="s">
        <v>1179</v>
      </c>
      <c r="H351" s="127" t="str">
        <f t="shared" si="65"/>
        <v>ATENDIDO</v>
      </c>
      <c r="I351" s="111" t="s">
        <v>22</v>
      </c>
      <c r="J351" s="24" t="s">
        <v>10</v>
      </c>
      <c r="K351" s="24" t="s">
        <v>1145</v>
      </c>
      <c r="L351" s="24" t="s">
        <v>87</v>
      </c>
      <c r="M351" s="24" t="s">
        <v>84</v>
      </c>
      <c r="N351" s="24" t="s">
        <v>190</v>
      </c>
      <c r="O351" s="25" t="s">
        <v>208</v>
      </c>
      <c r="P351" s="112" t="s">
        <v>463</v>
      </c>
      <c r="Q351" s="24" t="s">
        <v>93</v>
      </c>
      <c r="R351" s="82">
        <f>Tabla1[[#This Row],[Origin Date ]]+3</f>
        <v>45887</v>
      </c>
      <c r="S351" s="2">
        <v>45889</v>
      </c>
      <c r="T351" s="83">
        <f t="shared" si="66"/>
        <v>2</v>
      </c>
      <c r="U351" s="35" t="str">
        <f t="shared" si="67"/>
        <v>Realizada a Tiempo</v>
      </c>
      <c r="V351" s="24" t="str">
        <f t="shared" si="68"/>
        <v>Cerrada</v>
      </c>
      <c r="W351" s="51">
        <v>0.8</v>
      </c>
      <c r="X351" s="54"/>
      <c r="Y351" s="102" t="s">
        <v>58</v>
      </c>
      <c r="Z351" s="36">
        <v>15</v>
      </c>
      <c r="AA351" s="36" t="s">
        <v>50</v>
      </c>
      <c r="AB351" s="52">
        <f>Tabla1[[#This Row],[Fecha de Entrega
End Date]]+$Z351</f>
        <v>45904</v>
      </c>
      <c r="AC351" s="44"/>
      <c r="AD351" s="53" t="s">
        <v>384</v>
      </c>
      <c r="AE351" s="37"/>
    </row>
    <row r="352" spans="1:31" ht="52.8" x14ac:dyDescent="0.3">
      <c r="A352" s="103">
        <v>45885</v>
      </c>
      <c r="B352" s="111">
        <f t="shared" si="62"/>
        <v>348</v>
      </c>
      <c r="C352" s="22" t="s">
        <v>1180</v>
      </c>
      <c r="D352" s="22" t="s">
        <v>17</v>
      </c>
      <c r="E352" s="21" t="s">
        <v>1181</v>
      </c>
      <c r="F352" s="21" t="s">
        <v>1182</v>
      </c>
      <c r="G352" s="81" t="s">
        <v>1183</v>
      </c>
      <c r="H352" s="127" t="str">
        <f t="shared" si="65"/>
        <v>ALTA</v>
      </c>
      <c r="I352" s="111" t="s">
        <v>22</v>
      </c>
      <c r="J352" s="24" t="s">
        <v>10</v>
      </c>
      <c r="K352" s="24" t="s">
        <v>1145</v>
      </c>
      <c r="L352" s="24" t="s">
        <v>76</v>
      </c>
      <c r="M352" s="24" t="s">
        <v>85</v>
      </c>
      <c r="N352" s="24" t="s">
        <v>190</v>
      </c>
      <c r="O352" s="25" t="s">
        <v>208</v>
      </c>
      <c r="P352" s="112" t="s">
        <v>1184</v>
      </c>
      <c r="Q352" s="24" t="s">
        <v>228</v>
      </c>
      <c r="R352" s="82">
        <f>Tabla1[[#This Row],[Origin Date ]]+3</f>
        <v>45888</v>
      </c>
      <c r="S352" s="2"/>
      <c r="T352" s="83" t="str">
        <f t="shared" si="66"/>
        <v>-</v>
      </c>
      <c r="U352" s="35" t="str">
        <f t="shared" ca="1" si="67"/>
        <v>Atrasada</v>
      </c>
      <c r="V352" s="24" t="str">
        <f t="shared" si="68"/>
        <v>Abierta</v>
      </c>
      <c r="W352" s="51">
        <v>0.5</v>
      </c>
      <c r="X352" s="54"/>
      <c r="Y352" s="102" t="s">
        <v>58</v>
      </c>
      <c r="Z352" s="36">
        <v>15</v>
      </c>
      <c r="AA352" s="36" t="s">
        <v>52</v>
      </c>
      <c r="AB352" s="52">
        <f>Tabla1[[#This Row],[Fecha de Entrega
End Date]]+$Z352</f>
        <v>15</v>
      </c>
      <c r="AC352" s="44"/>
      <c r="AD352" s="53" t="s">
        <v>6</v>
      </c>
      <c r="AE352" s="37" t="s">
        <v>1185</v>
      </c>
    </row>
    <row r="353" spans="1:31" ht="39.6" x14ac:dyDescent="0.3">
      <c r="A353" s="103">
        <v>45885</v>
      </c>
      <c r="B353" s="111">
        <f t="shared" si="62"/>
        <v>349</v>
      </c>
      <c r="C353" s="22" t="s">
        <v>1186</v>
      </c>
      <c r="D353" s="22" t="s">
        <v>1187</v>
      </c>
      <c r="E353" s="21" t="s">
        <v>1188</v>
      </c>
      <c r="F353" s="21" t="s">
        <v>1189</v>
      </c>
      <c r="G353" s="81" t="s">
        <v>1190</v>
      </c>
      <c r="H353" s="127" t="str">
        <f t="shared" si="65"/>
        <v>ATENDIDO</v>
      </c>
      <c r="I353" s="111" t="s">
        <v>20</v>
      </c>
      <c r="J353" s="24" t="s">
        <v>16</v>
      </c>
      <c r="K353" s="24" t="s">
        <v>1187</v>
      </c>
      <c r="L353" s="24" t="s">
        <v>77</v>
      </c>
      <c r="M353" s="24" t="s">
        <v>86</v>
      </c>
      <c r="N353" s="24" t="s">
        <v>211</v>
      </c>
      <c r="O353" s="25" t="s">
        <v>208</v>
      </c>
      <c r="P353" s="112" t="s">
        <v>463</v>
      </c>
      <c r="Q353" s="24" t="s">
        <v>228</v>
      </c>
      <c r="R353" s="82">
        <f>Tabla1[[#This Row],[Origin Date ]]+3</f>
        <v>45888</v>
      </c>
      <c r="S353" s="2">
        <v>45891</v>
      </c>
      <c r="T353" s="83">
        <f t="shared" si="66"/>
        <v>3</v>
      </c>
      <c r="U353" s="35" t="str">
        <f t="shared" si="67"/>
        <v>Realizada a Tiempo</v>
      </c>
      <c r="V353" s="24" t="str">
        <f t="shared" si="68"/>
        <v>Cerrada</v>
      </c>
      <c r="W353" s="51">
        <v>1</v>
      </c>
      <c r="X353" s="54"/>
      <c r="Y353" s="102" t="s">
        <v>58</v>
      </c>
      <c r="Z353" s="36">
        <v>10</v>
      </c>
      <c r="AA353" s="36" t="s">
        <v>51</v>
      </c>
      <c r="AB353" s="52">
        <f>Tabla1[[#This Row],[Fecha de Entrega
End Date]]+$Z353</f>
        <v>45901</v>
      </c>
      <c r="AC353" s="44"/>
      <c r="AD353" s="53" t="s">
        <v>386</v>
      </c>
      <c r="AE353" s="37" t="s">
        <v>1191</v>
      </c>
    </row>
    <row r="354" spans="1:31" ht="26.4" x14ac:dyDescent="0.3">
      <c r="A354" s="103">
        <v>45887</v>
      </c>
      <c r="B354" s="111">
        <f t="shared" si="62"/>
        <v>350</v>
      </c>
      <c r="C354" s="22" t="s">
        <v>1136</v>
      </c>
      <c r="D354" s="22" t="s">
        <v>124</v>
      </c>
      <c r="E354" s="21" t="s">
        <v>1192</v>
      </c>
      <c r="F354" s="21" t="s">
        <v>1193</v>
      </c>
      <c r="G354" s="81" t="s">
        <v>1179</v>
      </c>
      <c r="H354" s="127" t="str">
        <f t="shared" si="65"/>
        <v>ALTA</v>
      </c>
      <c r="I354" s="111" t="s">
        <v>20</v>
      </c>
      <c r="J354" s="24" t="s">
        <v>10</v>
      </c>
      <c r="K354" s="24"/>
      <c r="L354" s="24" t="s">
        <v>87</v>
      </c>
      <c r="M354" s="24"/>
      <c r="N354" s="24"/>
      <c r="O354" s="25" t="s">
        <v>208</v>
      </c>
      <c r="P354" s="112"/>
      <c r="Q354" s="24"/>
      <c r="R354" s="82">
        <f>Tabla1[[#This Row],[Origin Date ]]+3</f>
        <v>45890</v>
      </c>
      <c r="S354" s="2"/>
      <c r="T354" s="83" t="str">
        <f t="shared" si="66"/>
        <v>-</v>
      </c>
      <c r="U354" s="35" t="str">
        <f t="shared" ca="1" si="67"/>
        <v>Atrasada</v>
      </c>
      <c r="V354" s="24" t="str">
        <f t="shared" si="68"/>
        <v>Abierta</v>
      </c>
      <c r="W354" s="51">
        <v>0.2</v>
      </c>
      <c r="X354" s="54"/>
      <c r="Y354" s="102" t="s">
        <v>58</v>
      </c>
      <c r="Z354" s="36"/>
      <c r="AA354" s="36"/>
      <c r="AB354" s="52">
        <f>Tabla1[[#This Row],[Fecha de Entrega
End Date]]+$Z354</f>
        <v>0</v>
      </c>
      <c r="AC354" s="44"/>
      <c r="AD354" s="53"/>
      <c r="AE354" s="37"/>
    </row>
    <row r="355" spans="1:31" ht="50.1" customHeight="1" x14ac:dyDescent="0.3">
      <c r="A355" s="103">
        <v>45887</v>
      </c>
      <c r="B355" s="111">
        <f t="shared" si="62"/>
        <v>351</v>
      </c>
      <c r="C355" s="22" t="s">
        <v>1141</v>
      </c>
      <c r="D355" s="22" t="s">
        <v>125</v>
      </c>
      <c r="E355" s="21" t="s">
        <v>1194</v>
      </c>
      <c r="F355" s="21" t="s">
        <v>1195</v>
      </c>
      <c r="G355" s="81" t="s">
        <v>1144</v>
      </c>
      <c r="H355" s="127" t="str">
        <f t="shared" si="65"/>
        <v>ALTA</v>
      </c>
      <c r="I355" s="111" t="s">
        <v>61</v>
      </c>
      <c r="J355" s="24" t="s">
        <v>10</v>
      </c>
      <c r="K355" s="24"/>
      <c r="L355" s="24" t="s">
        <v>87</v>
      </c>
      <c r="M355" s="24"/>
      <c r="N355" s="24"/>
      <c r="O355" s="25" t="s">
        <v>208</v>
      </c>
      <c r="P355" s="112"/>
      <c r="Q355" s="24"/>
      <c r="R355" s="82">
        <f>Tabla1[[#This Row],[Origin Date ]]+3</f>
        <v>45890</v>
      </c>
      <c r="S355" s="2"/>
      <c r="T355" s="83" t="str">
        <f t="shared" si="66"/>
        <v>-</v>
      </c>
      <c r="U355" s="35" t="str">
        <f t="shared" ca="1" si="67"/>
        <v>Atrasada</v>
      </c>
      <c r="V355" s="24" t="str">
        <f t="shared" si="68"/>
        <v>Abierta</v>
      </c>
      <c r="W355" s="51">
        <v>0.2</v>
      </c>
      <c r="X355" s="54"/>
      <c r="Y355" s="102" t="s">
        <v>58</v>
      </c>
      <c r="Z355" s="36"/>
      <c r="AA355" s="36"/>
      <c r="AB355" s="52">
        <f>Tabla1[[#This Row],[Fecha de Entrega
End Date]]+$Z355</f>
        <v>0</v>
      </c>
      <c r="AC355" s="44"/>
      <c r="AD355" s="53"/>
      <c r="AE355" s="37"/>
    </row>
    <row r="356" spans="1:31" ht="50.1" customHeight="1" x14ac:dyDescent="0.3">
      <c r="A356" s="2">
        <v>45905</v>
      </c>
      <c r="B356" s="111">
        <f t="shared" si="62"/>
        <v>352</v>
      </c>
      <c r="C356" s="22" t="s">
        <v>1201</v>
      </c>
      <c r="D356" s="22" t="s">
        <v>1202</v>
      </c>
      <c r="E356" s="21" t="s">
        <v>1203</v>
      </c>
      <c r="F356" s="21" t="s">
        <v>1204</v>
      </c>
      <c r="G356" s="22" t="s">
        <v>1205</v>
      </c>
      <c r="H356" s="127" t="str">
        <f t="shared" si="65"/>
        <v>ATENDIDO</v>
      </c>
      <c r="I356" s="111" t="s">
        <v>61</v>
      </c>
      <c r="J356" s="24" t="s">
        <v>10</v>
      </c>
      <c r="K356" s="24" t="s">
        <v>1310</v>
      </c>
      <c r="L356" s="24" t="s">
        <v>87</v>
      </c>
      <c r="M356" s="24" t="s">
        <v>86</v>
      </c>
      <c r="N356" s="24" t="s">
        <v>190</v>
      </c>
      <c r="O356" s="25" t="s">
        <v>1197</v>
      </c>
      <c r="P356" s="112" t="s">
        <v>1309</v>
      </c>
      <c r="Q356" s="24" t="s">
        <v>93</v>
      </c>
      <c r="R356" s="82">
        <f>Tabla1[[#This Row],[Origin Date ]]+3</f>
        <v>45908</v>
      </c>
      <c r="S356" s="2">
        <v>45915</v>
      </c>
      <c r="T356" s="83">
        <f t="shared" si="66"/>
        <v>7</v>
      </c>
      <c r="U356" s="35" t="str">
        <f t="shared" si="67"/>
        <v>Realizada a Tiempo</v>
      </c>
      <c r="V356" s="24" t="str">
        <f t="shared" si="68"/>
        <v>Cerrada</v>
      </c>
      <c r="W356" s="51">
        <v>1</v>
      </c>
      <c r="X356" s="54"/>
      <c r="Y356" s="102" t="s">
        <v>58</v>
      </c>
      <c r="Z356" s="36">
        <v>90</v>
      </c>
      <c r="AA356" s="36" t="s">
        <v>51</v>
      </c>
      <c r="AB356" s="52">
        <f>Tabla1[[#This Row],[Fecha de Entrega
End Date]]+$Z356</f>
        <v>46005</v>
      </c>
      <c r="AC356" s="44"/>
      <c r="AD356" s="53" t="s">
        <v>386</v>
      </c>
      <c r="AE356" s="37"/>
    </row>
    <row r="357" spans="1:31" ht="50.1" customHeight="1" x14ac:dyDescent="0.3">
      <c r="A357" s="2">
        <v>45919</v>
      </c>
      <c r="B357" s="111">
        <f t="shared" si="62"/>
        <v>353</v>
      </c>
      <c r="C357" s="22" t="s">
        <v>1201</v>
      </c>
      <c r="D357" s="22" t="s">
        <v>1202</v>
      </c>
      <c r="E357" s="21" t="s">
        <v>1206</v>
      </c>
      <c r="F357" s="21" t="s">
        <v>1207</v>
      </c>
      <c r="G357" s="22" t="s">
        <v>1205</v>
      </c>
      <c r="H357" s="127" t="str">
        <f t="shared" si="65"/>
        <v>ALTA</v>
      </c>
      <c r="I357" s="111" t="s">
        <v>61</v>
      </c>
      <c r="J357" s="24" t="s">
        <v>10</v>
      </c>
      <c r="K357" s="24" t="s">
        <v>1310</v>
      </c>
      <c r="L357" s="24" t="s">
        <v>87</v>
      </c>
      <c r="M357" s="24" t="s">
        <v>84</v>
      </c>
      <c r="N357" s="24" t="s">
        <v>190</v>
      </c>
      <c r="O357" s="25" t="s">
        <v>1197</v>
      </c>
      <c r="P357" s="112" t="s">
        <v>1163</v>
      </c>
      <c r="Q357" s="24" t="s">
        <v>93</v>
      </c>
      <c r="R357" s="82">
        <f>Tabla1[[#This Row],[Origin Date ]]+3</f>
        <v>45922</v>
      </c>
      <c r="S357" s="2"/>
      <c r="T357" s="83" t="str">
        <f t="shared" si="66"/>
        <v>-</v>
      </c>
      <c r="U357" s="35" t="str">
        <f t="shared" ca="1" si="67"/>
        <v>Atrasada</v>
      </c>
      <c r="V357" s="24" t="str">
        <f t="shared" si="68"/>
        <v>Abierta</v>
      </c>
      <c r="W357" s="51">
        <v>0.2</v>
      </c>
      <c r="X357" s="54"/>
      <c r="Y357" s="102" t="s">
        <v>58</v>
      </c>
      <c r="Z357" s="36"/>
      <c r="AA357" s="36"/>
      <c r="AB357" s="52">
        <f>Tabla1[[#This Row],[Fecha de Entrega
End Date]]+$Z357</f>
        <v>0</v>
      </c>
      <c r="AC357" s="44"/>
      <c r="AD357" s="53"/>
      <c r="AE357" s="37"/>
    </row>
    <row r="358" spans="1:31" ht="50.1" customHeight="1" x14ac:dyDescent="0.3">
      <c r="A358" s="2">
        <v>45919</v>
      </c>
      <c r="B358" s="111">
        <f t="shared" si="62"/>
        <v>354</v>
      </c>
      <c r="C358" s="22" t="s">
        <v>1201</v>
      </c>
      <c r="D358" s="22" t="s">
        <v>1208</v>
      </c>
      <c r="E358" s="21" t="s">
        <v>1209</v>
      </c>
      <c r="F358" s="21" t="s">
        <v>1210</v>
      </c>
      <c r="G358" s="22" t="s">
        <v>1205</v>
      </c>
      <c r="H358" s="127" t="str">
        <f t="shared" si="65"/>
        <v>ALTA</v>
      </c>
      <c r="I358" s="111" t="s">
        <v>20</v>
      </c>
      <c r="J358" s="24" t="s">
        <v>10</v>
      </c>
      <c r="K358" s="24" t="s">
        <v>1310</v>
      </c>
      <c r="L358" s="24" t="s">
        <v>87</v>
      </c>
      <c r="M358" s="24" t="s">
        <v>84</v>
      </c>
      <c r="N358" s="24" t="s">
        <v>190</v>
      </c>
      <c r="O358" s="25" t="s">
        <v>1197</v>
      </c>
      <c r="P358" s="112" t="s">
        <v>1163</v>
      </c>
      <c r="Q358" s="24" t="s">
        <v>93</v>
      </c>
      <c r="R358" s="82">
        <f>Tabla1[[#This Row],[Origin Date ]]+3</f>
        <v>45922</v>
      </c>
      <c r="S358" s="2"/>
      <c r="T358" s="83" t="str">
        <f t="shared" si="66"/>
        <v>-</v>
      </c>
      <c r="U358" s="35" t="str">
        <f t="shared" ca="1" si="67"/>
        <v>Atrasada</v>
      </c>
      <c r="V358" s="24" t="str">
        <f t="shared" si="68"/>
        <v>Abierta</v>
      </c>
      <c r="W358" s="51">
        <v>0.2</v>
      </c>
      <c r="X358" s="54"/>
      <c r="Y358" s="102" t="s">
        <v>58</v>
      </c>
      <c r="Z358" s="36"/>
      <c r="AA358" s="36"/>
      <c r="AB358" s="52">
        <f>Tabla1[[#This Row],[Fecha de Entrega
End Date]]+$Z358</f>
        <v>0</v>
      </c>
      <c r="AC358" s="44"/>
      <c r="AD358" s="53"/>
      <c r="AE358" s="37"/>
    </row>
    <row r="359" spans="1:31" ht="50.1" customHeight="1" x14ac:dyDescent="0.3">
      <c r="A359" s="2">
        <v>45919</v>
      </c>
      <c r="B359" s="111">
        <f t="shared" si="62"/>
        <v>355</v>
      </c>
      <c r="C359" s="22" t="s">
        <v>1201</v>
      </c>
      <c r="D359" s="22" t="s">
        <v>1202</v>
      </c>
      <c r="E359" s="21" t="s">
        <v>1211</v>
      </c>
      <c r="F359" s="21" t="s">
        <v>1212</v>
      </c>
      <c r="G359" s="22" t="s">
        <v>1205</v>
      </c>
      <c r="H359" s="127" t="str">
        <f t="shared" si="65"/>
        <v>ALTA</v>
      </c>
      <c r="I359" s="111" t="s">
        <v>20</v>
      </c>
      <c r="J359" s="24" t="s">
        <v>10</v>
      </c>
      <c r="K359" s="24" t="s">
        <v>1310</v>
      </c>
      <c r="L359" s="24" t="s">
        <v>87</v>
      </c>
      <c r="M359" s="24" t="s">
        <v>86</v>
      </c>
      <c r="N359" s="24" t="s">
        <v>190</v>
      </c>
      <c r="O359" s="25" t="s">
        <v>1197</v>
      </c>
      <c r="P359" s="112" t="s">
        <v>1163</v>
      </c>
      <c r="Q359" s="24" t="s">
        <v>93</v>
      </c>
      <c r="R359" s="82">
        <f>Tabla1[[#This Row],[Origin Date ]]+3</f>
        <v>45922</v>
      </c>
      <c r="S359" s="2"/>
      <c r="T359" s="83" t="str">
        <f t="shared" si="66"/>
        <v>-</v>
      </c>
      <c r="U359" s="35" t="str">
        <f t="shared" ca="1" si="67"/>
        <v>Atrasada</v>
      </c>
      <c r="V359" s="24" t="str">
        <f t="shared" si="68"/>
        <v>Abierta</v>
      </c>
      <c r="W359" s="51">
        <v>0.2</v>
      </c>
      <c r="X359" s="54"/>
      <c r="Y359" s="102" t="s">
        <v>58</v>
      </c>
      <c r="Z359" s="36"/>
      <c r="AA359" s="36"/>
      <c r="AB359" s="52">
        <f>Tabla1[[#This Row],[Fecha de Entrega
End Date]]+$Z359</f>
        <v>0</v>
      </c>
      <c r="AC359" s="44"/>
      <c r="AD359" s="53"/>
      <c r="AE359" s="37"/>
    </row>
    <row r="360" spans="1:31" ht="50.1" customHeight="1" x14ac:dyDescent="0.3">
      <c r="A360" s="2">
        <v>45919</v>
      </c>
      <c r="B360" s="111">
        <f t="shared" si="62"/>
        <v>356</v>
      </c>
      <c r="C360" s="22" t="s">
        <v>1201</v>
      </c>
      <c r="D360" s="22" t="s">
        <v>1208</v>
      </c>
      <c r="E360" s="21" t="s">
        <v>1213</v>
      </c>
      <c r="F360" s="21" t="s">
        <v>1214</v>
      </c>
      <c r="G360" s="22" t="s">
        <v>1205</v>
      </c>
      <c r="H360" s="127" t="str">
        <f t="shared" si="65"/>
        <v>ALTA</v>
      </c>
      <c r="I360" s="111" t="s">
        <v>20</v>
      </c>
      <c r="J360" s="24" t="s">
        <v>10</v>
      </c>
      <c r="K360" s="24" t="s">
        <v>1310</v>
      </c>
      <c r="L360" s="24" t="s">
        <v>87</v>
      </c>
      <c r="M360" s="24" t="s">
        <v>86</v>
      </c>
      <c r="N360" s="24" t="s">
        <v>190</v>
      </c>
      <c r="O360" s="25" t="s">
        <v>1197</v>
      </c>
      <c r="P360" s="112" t="s">
        <v>967</v>
      </c>
      <c r="Q360" s="24" t="s">
        <v>93</v>
      </c>
      <c r="R360" s="82">
        <f>Tabla1[[#This Row],[Origin Date ]]+3</f>
        <v>45922</v>
      </c>
      <c r="S360" s="2"/>
      <c r="T360" s="83" t="str">
        <f t="shared" si="66"/>
        <v>-</v>
      </c>
      <c r="U360" s="35" t="str">
        <f t="shared" ca="1" si="67"/>
        <v>Atrasada</v>
      </c>
      <c r="V360" s="24" t="str">
        <f t="shared" si="68"/>
        <v>Abierta</v>
      </c>
      <c r="W360" s="51">
        <v>0.2</v>
      </c>
      <c r="X360" s="54"/>
      <c r="Y360" s="102" t="s">
        <v>58</v>
      </c>
      <c r="Z360" s="36"/>
      <c r="AA360" s="36"/>
      <c r="AB360" s="52">
        <f>Tabla1[[#This Row],[Fecha de Entrega
End Date]]+$Z360</f>
        <v>0</v>
      </c>
      <c r="AC360" s="44"/>
      <c r="AD360" s="53"/>
      <c r="AE360" s="37"/>
    </row>
    <row r="361" spans="1:31" ht="50.1" customHeight="1" x14ac:dyDescent="0.3">
      <c r="A361" s="2">
        <v>45919</v>
      </c>
      <c r="B361" s="111">
        <f t="shared" si="62"/>
        <v>357</v>
      </c>
      <c r="C361" s="22" t="s">
        <v>1201</v>
      </c>
      <c r="D361" s="22" t="s">
        <v>1208</v>
      </c>
      <c r="E361" s="21" t="s">
        <v>1206</v>
      </c>
      <c r="F361" s="21" t="s">
        <v>1215</v>
      </c>
      <c r="G361" s="22" t="s">
        <v>1205</v>
      </c>
      <c r="H361" s="127" t="str">
        <f t="shared" si="65"/>
        <v>ALTA</v>
      </c>
      <c r="I361" s="111" t="s">
        <v>20</v>
      </c>
      <c r="J361" s="24" t="s">
        <v>10</v>
      </c>
      <c r="K361" s="24" t="s">
        <v>1310</v>
      </c>
      <c r="L361" s="24" t="s">
        <v>87</v>
      </c>
      <c r="M361" s="24" t="s">
        <v>86</v>
      </c>
      <c r="N361" s="24" t="s">
        <v>190</v>
      </c>
      <c r="O361" s="25" t="s">
        <v>1197</v>
      </c>
      <c r="P361" s="112" t="s">
        <v>967</v>
      </c>
      <c r="Q361" s="24" t="s">
        <v>93</v>
      </c>
      <c r="R361" s="82">
        <f>Tabla1[[#This Row],[Origin Date ]]+3</f>
        <v>45922</v>
      </c>
      <c r="S361" s="2"/>
      <c r="T361" s="83" t="str">
        <f t="shared" si="66"/>
        <v>-</v>
      </c>
      <c r="U361" s="35" t="str">
        <f t="shared" ca="1" si="67"/>
        <v>Atrasada</v>
      </c>
      <c r="V361" s="24" t="str">
        <f t="shared" si="68"/>
        <v>Abierta</v>
      </c>
      <c r="W361" s="51">
        <v>0.2</v>
      </c>
      <c r="X361" s="54"/>
      <c r="Y361" s="102" t="s">
        <v>58</v>
      </c>
      <c r="Z361" s="36"/>
      <c r="AA361" s="36"/>
      <c r="AB361" s="52">
        <f>Tabla1[[#This Row],[Fecha de Entrega
End Date]]+$Z361</f>
        <v>0</v>
      </c>
      <c r="AC361" s="44"/>
      <c r="AD361" s="53"/>
      <c r="AE361" s="37"/>
    </row>
    <row r="362" spans="1:31" ht="50.1" customHeight="1" x14ac:dyDescent="0.3">
      <c r="A362" s="2">
        <v>45919</v>
      </c>
      <c r="B362" s="111">
        <f t="shared" si="62"/>
        <v>358</v>
      </c>
      <c r="C362" s="22" t="s">
        <v>1201</v>
      </c>
      <c r="D362" s="22" t="s">
        <v>1216</v>
      </c>
      <c r="E362" s="21" t="s">
        <v>1217</v>
      </c>
      <c r="F362" s="21" t="s">
        <v>1218</v>
      </c>
      <c r="G362" s="22" t="s">
        <v>1219</v>
      </c>
      <c r="H362" s="127" t="str">
        <f t="shared" si="65"/>
        <v>ALTA</v>
      </c>
      <c r="I362" s="111" t="s">
        <v>20</v>
      </c>
      <c r="J362" s="24" t="s">
        <v>10</v>
      </c>
      <c r="K362" s="24" t="s">
        <v>1310</v>
      </c>
      <c r="L362" s="24" t="s">
        <v>87</v>
      </c>
      <c r="M362" s="24" t="s">
        <v>84</v>
      </c>
      <c r="N362" s="24" t="s">
        <v>190</v>
      </c>
      <c r="O362" s="25" t="s">
        <v>1197</v>
      </c>
      <c r="P362" s="112" t="s">
        <v>1163</v>
      </c>
      <c r="Q362" s="24" t="s">
        <v>93</v>
      </c>
      <c r="R362" s="82">
        <f>Tabla1[[#This Row],[Origin Date ]]+3</f>
        <v>45922</v>
      </c>
      <c r="S362" s="2"/>
      <c r="T362" s="83" t="str">
        <f t="shared" si="66"/>
        <v>-</v>
      </c>
      <c r="U362" s="35" t="str">
        <f t="shared" ca="1" si="67"/>
        <v>Atrasada</v>
      </c>
      <c r="V362" s="24" t="str">
        <f t="shared" si="68"/>
        <v>Abierta</v>
      </c>
      <c r="W362" s="51">
        <v>0.2</v>
      </c>
      <c r="X362" s="54"/>
      <c r="Y362" s="102" t="s">
        <v>58</v>
      </c>
      <c r="Z362" s="36"/>
      <c r="AA362" s="36"/>
      <c r="AB362" s="52">
        <f>Tabla1[[#This Row],[Fecha de Entrega
End Date]]+$Z362</f>
        <v>0</v>
      </c>
      <c r="AC362" s="44"/>
      <c r="AD362" s="53"/>
      <c r="AE362" s="37"/>
    </row>
    <row r="363" spans="1:31" ht="50.1" customHeight="1" x14ac:dyDescent="0.3">
      <c r="A363" s="2">
        <v>45919</v>
      </c>
      <c r="B363" s="111">
        <f t="shared" si="62"/>
        <v>359</v>
      </c>
      <c r="C363" s="22" t="s">
        <v>1201</v>
      </c>
      <c r="D363" s="22" t="s">
        <v>1220</v>
      </c>
      <c r="E363" s="21" t="s">
        <v>1221</v>
      </c>
      <c r="F363" s="21" t="s">
        <v>1222</v>
      </c>
      <c r="G363" s="22" t="s">
        <v>1219</v>
      </c>
      <c r="H363" s="127" t="str">
        <f t="shared" si="65"/>
        <v>ALTA</v>
      </c>
      <c r="I363" s="111" t="s">
        <v>20</v>
      </c>
      <c r="J363" s="24" t="s">
        <v>10</v>
      </c>
      <c r="K363" s="24" t="s">
        <v>1310</v>
      </c>
      <c r="L363" s="24" t="s">
        <v>87</v>
      </c>
      <c r="M363" s="24" t="s">
        <v>86</v>
      </c>
      <c r="N363" s="24" t="s">
        <v>190</v>
      </c>
      <c r="O363" s="25" t="s">
        <v>1197</v>
      </c>
      <c r="P363" s="112" t="s">
        <v>967</v>
      </c>
      <c r="Q363" s="24" t="s">
        <v>93</v>
      </c>
      <c r="R363" s="82">
        <f>Tabla1[[#This Row],[Origin Date ]]+3</f>
        <v>45922</v>
      </c>
      <c r="S363" s="2"/>
      <c r="T363" s="83" t="str">
        <f t="shared" si="66"/>
        <v>-</v>
      </c>
      <c r="U363" s="35" t="str">
        <f t="shared" ca="1" si="67"/>
        <v>Atrasada</v>
      </c>
      <c r="V363" s="24" t="str">
        <f t="shared" si="68"/>
        <v>Abierta</v>
      </c>
      <c r="W363" s="51">
        <v>0.2</v>
      </c>
      <c r="X363" s="54"/>
      <c r="Y363" s="102" t="s">
        <v>58</v>
      </c>
      <c r="Z363" s="36"/>
      <c r="AA363" s="36"/>
      <c r="AB363" s="52">
        <f>Tabla1[[#This Row],[Fecha de Entrega
End Date]]+$Z363</f>
        <v>0</v>
      </c>
      <c r="AC363" s="44"/>
      <c r="AD363" s="53"/>
      <c r="AE363" s="37"/>
    </row>
    <row r="364" spans="1:31" ht="50.1" customHeight="1" x14ac:dyDescent="0.3">
      <c r="A364" s="2">
        <v>45919</v>
      </c>
      <c r="B364" s="111">
        <f t="shared" si="62"/>
        <v>360</v>
      </c>
      <c r="C364" s="22" t="s">
        <v>1201</v>
      </c>
      <c r="D364" s="22" t="s">
        <v>1208</v>
      </c>
      <c r="E364" s="21" t="s">
        <v>1217</v>
      </c>
      <c r="F364" s="21" t="s">
        <v>1223</v>
      </c>
      <c r="G364" s="22" t="s">
        <v>1219</v>
      </c>
      <c r="H364" s="127" t="str">
        <f t="shared" si="65"/>
        <v>ALTA</v>
      </c>
      <c r="I364" s="111" t="s">
        <v>20</v>
      </c>
      <c r="J364" s="24" t="s">
        <v>10</v>
      </c>
      <c r="K364" s="24" t="s">
        <v>1310</v>
      </c>
      <c r="L364" s="24" t="s">
        <v>87</v>
      </c>
      <c r="M364" s="24" t="s">
        <v>84</v>
      </c>
      <c r="N364" s="24" t="s">
        <v>190</v>
      </c>
      <c r="O364" s="25" t="s">
        <v>1197</v>
      </c>
      <c r="P364" s="112" t="s">
        <v>1163</v>
      </c>
      <c r="Q364" s="24" t="s">
        <v>93</v>
      </c>
      <c r="R364" s="82">
        <f>Tabla1[[#This Row],[Origin Date ]]+3</f>
        <v>45922</v>
      </c>
      <c r="S364" s="2"/>
      <c r="T364" s="83" t="str">
        <f t="shared" si="66"/>
        <v>-</v>
      </c>
      <c r="U364" s="35" t="str">
        <f t="shared" ca="1" si="67"/>
        <v>Atrasada</v>
      </c>
      <c r="V364" s="24" t="str">
        <f t="shared" si="68"/>
        <v>Abierta</v>
      </c>
      <c r="W364" s="51">
        <v>0.2</v>
      </c>
      <c r="X364" s="54"/>
      <c r="Y364" s="102" t="s">
        <v>58</v>
      </c>
      <c r="Z364" s="36"/>
      <c r="AA364" s="36"/>
      <c r="AB364" s="52">
        <f>Tabla1[[#This Row],[Fecha de Entrega
End Date]]+$Z364</f>
        <v>0</v>
      </c>
      <c r="AC364" s="44"/>
      <c r="AD364" s="53"/>
      <c r="AE364" s="37"/>
    </row>
    <row r="365" spans="1:31" ht="50.1" customHeight="1" x14ac:dyDescent="0.3">
      <c r="A365" s="2">
        <v>45920</v>
      </c>
      <c r="B365" s="111">
        <f t="shared" si="62"/>
        <v>361</v>
      </c>
      <c r="C365" s="22" t="s">
        <v>1201</v>
      </c>
      <c r="D365" s="22" t="s">
        <v>1208</v>
      </c>
      <c r="E365" s="21" t="s">
        <v>1224</v>
      </c>
      <c r="F365" s="21" t="s">
        <v>1225</v>
      </c>
      <c r="G365" s="22" t="s">
        <v>1226</v>
      </c>
      <c r="H365" s="127" t="str">
        <f t="shared" si="65"/>
        <v>ALTA</v>
      </c>
      <c r="I365" s="111" t="s">
        <v>13</v>
      </c>
      <c r="J365" s="24" t="s">
        <v>16</v>
      </c>
      <c r="K365" s="24" t="s">
        <v>1310</v>
      </c>
      <c r="L365" s="24" t="s">
        <v>87</v>
      </c>
      <c r="M365" s="24" t="s">
        <v>86</v>
      </c>
      <c r="N365" s="24" t="s">
        <v>190</v>
      </c>
      <c r="O365" s="25" t="s">
        <v>1197</v>
      </c>
      <c r="P365" s="112"/>
      <c r="Q365" s="24"/>
      <c r="R365" s="82">
        <f>Tabla1[[#This Row],[Origin Date ]]+3</f>
        <v>45923</v>
      </c>
      <c r="S365" s="2"/>
      <c r="T365" s="83" t="str">
        <f t="shared" si="66"/>
        <v>-</v>
      </c>
      <c r="U365" s="35" t="str">
        <f t="shared" ca="1" si="67"/>
        <v>Atrasada</v>
      </c>
      <c r="V365" s="24" t="str">
        <f t="shared" si="68"/>
        <v>Abierta</v>
      </c>
      <c r="W365" s="51">
        <v>0.2</v>
      </c>
      <c r="X365" s="54"/>
      <c r="Y365" s="102" t="s">
        <v>58</v>
      </c>
      <c r="Z365" s="36"/>
      <c r="AA365" s="36"/>
      <c r="AB365" s="52">
        <f>Tabla1[[#This Row],[Fecha de Entrega
End Date]]+$Z365</f>
        <v>0</v>
      </c>
      <c r="AC365" s="44"/>
      <c r="AD365" s="53"/>
      <c r="AE365" s="37"/>
    </row>
    <row r="366" spans="1:31" ht="50.1" customHeight="1" x14ac:dyDescent="0.3">
      <c r="A366" s="2">
        <v>45920</v>
      </c>
      <c r="B366" s="111">
        <f t="shared" si="62"/>
        <v>362</v>
      </c>
      <c r="C366" s="22" t="s">
        <v>1201</v>
      </c>
      <c r="D366" s="22" t="s">
        <v>1208</v>
      </c>
      <c r="E366" s="21" t="s">
        <v>1224</v>
      </c>
      <c r="F366" s="21" t="s">
        <v>1227</v>
      </c>
      <c r="G366" s="22" t="s">
        <v>1226</v>
      </c>
      <c r="H366" s="127" t="str">
        <f t="shared" si="65"/>
        <v>ALTA</v>
      </c>
      <c r="I366" s="111"/>
      <c r="J366" s="24" t="s">
        <v>10</v>
      </c>
      <c r="K366" s="24"/>
      <c r="L366" s="24" t="s">
        <v>87</v>
      </c>
      <c r="M366" s="24"/>
      <c r="N366" s="24"/>
      <c r="O366" s="25" t="s">
        <v>1197</v>
      </c>
      <c r="P366" s="112"/>
      <c r="Q366" s="24"/>
      <c r="R366" s="82">
        <f>Tabla1[[#This Row],[Origin Date ]]+3</f>
        <v>45923</v>
      </c>
      <c r="S366" s="2"/>
      <c r="T366" s="83" t="str">
        <f t="shared" ref="T366:T397" si="69">IF((R366=""),"",IF((V366="Cerrada"),(S366-R366),IF((($AA$2-R366)&lt;=0),"-",($AA$2-R366))))</f>
        <v>-</v>
      </c>
      <c r="U366" s="35" t="str">
        <f t="shared" ref="U366:U397" ca="1" si="70">IF((R366=""),"",IF((V366="Cerrada"),"Realizada a Tiempo",IF(OR((($AB$2-R366)=0),(($AB$2-R366)=-1),(($AB$2-R366)=-2),(($AB$2-R366)=-3)),"Tiempo Límite",IF((T366="&gt;9"),"En Proceso","Atrasada"))))</f>
        <v>Atrasada</v>
      </c>
      <c r="V366" s="24" t="str">
        <f t="shared" si="68"/>
        <v>Abierta</v>
      </c>
      <c r="W366" s="51">
        <v>0.2</v>
      </c>
      <c r="X366" s="54"/>
      <c r="Y366" s="102" t="s">
        <v>58</v>
      </c>
      <c r="Z366" s="36"/>
      <c r="AA366" s="36"/>
      <c r="AB366" s="52">
        <f>Tabla1[[#This Row],[Fecha de Entrega
End Date]]+$Z366</f>
        <v>0</v>
      </c>
      <c r="AC366" s="44"/>
      <c r="AD366" s="53"/>
      <c r="AE366" s="37"/>
    </row>
    <row r="367" spans="1:31" ht="50.1" customHeight="1" x14ac:dyDescent="0.3">
      <c r="A367" s="2">
        <v>45920</v>
      </c>
      <c r="B367" s="111">
        <f t="shared" si="62"/>
        <v>363</v>
      </c>
      <c r="C367" s="22" t="s">
        <v>1201</v>
      </c>
      <c r="D367" s="22" t="s">
        <v>1208</v>
      </c>
      <c r="E367" s="21" t="s">
        <v>1224</v>
      </c>
      <c r="F367" s="21" t="s">
        <v>1228</v>
      </c>
      <c r="G367" s="22" t="s">
        <v>1226</v>
      </c>
      <c r="H367" s="127" t="str">
        <f t="shared" si="65"/>
        <v>ALTA</v>
      </c>
      <c r="I367" s="111"/>
      <c r="J367" s="24" t="s">
        <v>10</v>
      </c>
      <c r="K367" s="24"/>
      <c r="L367" s="24" t="s">
        <v>87</v>
      </c>
      <c r="M367" s="24"/>
      <c r="N367" s="24"/>
      <c r="O367" s="25" t="s">
        <v>1197</v>
      </c>
      <c r="P367" s="112"/>
      <c r="Q367" s="24"/>
      <c r="R367" s="82">
        <f>Tabla1[[#This Row],[Origin Date ]]+3</f>
        <v>45923</v>
      </c>
      <c r="S367" s="2"/>
      <c r="T367" s="83" t="str">
        <f t="shared" si="69"/>
        <v>-</v>
      </c>
      <c r="U367" s="35" t="str">
        <f t="shared" ca="1" si="70"/>
        <v>Atrasada</v>
      </c>
      <c r="V367" s="24" t="str">
        <f t="shared" si="68"/>
        <v>Abierta</v>
      </c>
      <c r="W367" s="51">
        <v>0.2</v>
      </c>
      <c r="X367" s="54"/>
      <c r="Y367" s="102" t="s">
        <v>58</v>
      </c>
      <c r="Z367" s="36"/>
      <c r="AA367" s="36"/>
      <c r="AB367" s="52">
        <f>Tabla1[[#This Row],[Fecha de Entrega
End Date]]+$Z367</f>
        <v>0</v>
      </c>
      <c r="AC367" s="44"/>
      <c r="AD367" s="53"/>
      <c r="AE367" s="37"/>
    </row>
    <row r="368" spans="1:31" ht="50.1" customHeight="1" x14ac:dyDescent="0.3">
      <c r="A368" s="2">
        <v>45920</v>
      </c>
      <c r="B368" s="111">
        <f t="shared" si="62"/>
        <v>364</v>
      </c>
      <c r="C368" s="22" t="s">
        <v>1201</v>
      </c>
      <c r="D368" s="22" t="s">
        <v>1208</v>
      </c>
      <c r="E368" s="21" t="s">
        <v>1229</v>
      </c>
      <c r="F368" s="21" t="s">
        <v>1230</v>
      </c>
      <c r="G368" s="22" t="s">
        <v>1226</v>
      </c>
      <c r="H368" s="127" t="str">
        <f t="shared" si="65"/>
        <v>ALTA</v>
      </c>
      <c r="I368" s="111"/>
      <c r="J368" s="24" t="s">
        <v>10</v>
      </c>
      <c r="K368" s="24"/>
      <c r="L368" s="24" t="s">
        <v>87</v>
      </c>
      <c r="M368" s="24"/>
      <c r="N368" s="24"/>
      <c r="O368" s="25" t="s">
        <v>1197</v>
      </c>
      <c r="P368" s="112"/>
      <c r="Q368" s="24"/>
      <c r="R368" s="82">
        <f>Tabla1[[#This Row],[Origin Date ]]+3</f>
        <v>45923</v>
      </c>
      <c r="S368" s="2"/>
      <c r="T368" s="83" t="str">
        <f t="shared" si="69"/>
        <v>-</v>
      </c>
      <c r="U368" s="35" t="str">
        <f t="shared" ca="1" si="70"/>
        <v>Atrasada</v>
      </c>
      <c r="V368" s="24" t="str">
        <f t="shared" si="68"/>
        <v>Abierta</v>
      </c>
      <c r="W368" s="51">
        <v>0.2</v>
      </c>
      <c r="X368" s="54"/>
      <c r="Y368" s="102" t="s">
        <v>58</v>
      </c>
      <c r="Z368" s="36"/>
      <c r="AA368" s="36"/>
      <c r="AB368" s="52">
        <f>Tabla1[[#This Row],[Fecha de Entrega
End Date]]+$Z368</f>
        <v>0</v>
      </c>
      <c r="AC368" s="44"/>
      <c r="AD368" s="53"/>
      <c r="AE368" s="37"/>
    </row>
    <row r="369" spans="1:31" ht="50.1" customHeight="1" x14ac:dyDescent="0.3">
      <c r="A369" s="2">
        <v>45920</v>
      </c>
      <c r="B369" s="111">
        <f t="shared" si="62"/>
        <v>365</v>
      </c>
      <c r="C369" s="22" t="s">
        <v>1201</v>
      </c>
      <c r="D369" s="22" t="s">
        <v>1231</v>
      </c>
      <c r="E369" s="21" t="s">
        <v>1232</v>
      </c>
      <c r="F369" s="21" t="s">
        <v>1233</v>
      </c>
      <c r="G369" s="22" t="s">
        <v>1226</v>
      </c>
      <c r="H369" s="127" t="str">
        <f t="shared" si="65"/>
        <v>ALTA</v>
      </c>
      <c r="I369" s="111"/>
      <c r="J369" s="24" t="s">
        <v>10</v>
      </c>
      <c r="K369" s="24"/>
      <c r="L369" s="24" t="s">
        <v>87</v>
      </c>
      <c r="M369" s="24"/>
      <c r="N369" s="24"/>
      <c r="O369" s="25" t="s">
        <v>1197</v>
      </c>
      <c r="P369" s="112"/>
      <c r="Q369" s="24"/>
      <c r="R369" s="82">
        <f>Tabla1[[#This Row],[Origin Date ]]+3</f>
        <v>45923</v>
      </c>
      <c r="S369" s="2"/>
      <c r="T369" s="83" t="str">
        <f t="shared" si="69"/>
        <v>-</v>
      </c>
      <c r="U369" s="35" t="str">
        <f t="shared" ca="1" si="70"/>
        <v>Atrasada</v>
      </c>
      <c r="V369" s="24" t="str">
        <f t="shared" si="68"/>
        <v>Abierta</v>
      </c>
      <c r="W369" s="51">
        <v>0.2</v>
      </c>
      <c r="X369" s="54"/>
      <c r="Y369" s="102" t="s">
        <v>58</v>
      </c>
      <c r="Z369" s="36"/>
      <c r="AA369" s="36"/>
      <c r="AB369" s="52">
        <f>Tabla1[[#This Row],[Fecha de Entrega
End Date]]+$Z369</f>
        <v>0</v>
      </c>
      <c r="AC369" s="44"/>
      <c r="AD369" s="53"/>
      <c r="AE369" s="37"/>
    </row>
    <row r="370" spans="1:31" ht="50.1" customHeight="1" x14ac:dyDescent="0.3">
      <c r="A370" s="2">
        <v>45920</v>
      </c>
      <c r="B370" s="111">
        <f t="shared" si="62"/>
        <v>366</v>
      </c>
      <c r="C370" s="22" t="s">
        <v>1201</v>
      </c>
      <c r="D370" s="22" t="s">
        <v>1231</v>
      </c>
      <c r="E370" s="21" t="s">
        <v>1234</v>
      </c>
      <c r="F370" s="21" t="s">
        <v>1235</v>
      </c>
      <c r="G370" s="22" t="s">
        <v>1226</v>
      </c>
      <c r="H370" s="127" t="str">
        <f t="shared" si="65"/>
        <v>ALTA</v>
      </c>
      <c r="I370" s="111"/>
      <c r="J370" s="24" t="s">
        <v>10</v>
      </c>
      <c r="K370" s="24"/>
      <c r="L370" s="24" t="s">
        <v>87</v>
      </c>
      <c r="M370" s="24"/>
      <c r="N370" s="24"/>
      <c r="O370" s="25" t="s">
        <v>1197</v>
      </c>
      <c r="P370" s="112"/>
      <c r="Q370" s="24"/>
      <c r="R370" s="82">
        <f>Tabla1[[#This Row],[Origin Date ]]+3</f>
        <v>45923</v>
      </c>
      <c r="S370" s="2"/>
      <c r="T370" s="83" t="str">
        <f t="shared" si="69"/>
        <v>-</v>
      </c>
      <c r="U370" s="35" t="str">
        <f t="shared" ca="1" si="70"/>
        <v>Atrasada</v>
      </c>
      <c r="V370" s="24" t="str">
        <f t="shared" si="68"/>
        <v>Abierta</v>
      </c>
      <c r="W370" s="51">
        <v>0.2</v>
      </c>
      <c r="X370" s="54"/>
      <c r="Y370" s="102" t="s">
        <v>58</v>
      </c>
      <c r="Z370" s="36"/>
      <c r="AA370" s="36"/>
      <c r="AB370" s="52">
        <f>Tabla1[[#This Row],[Fecha de Entrega
End Date]]+$Z370</f>
        <v>0</v>
      </c>
      <c r="AC370" s="44"/>
      <c r="AD370" s="53"/>
      <c r="AE370" s="37"/>
    </row>
    <row r="371" spans="1:31" ht="50.1" customHeight="1" x14ac:dyDescent="0.3">
      <c r="A371" s="2">
        <v>45920</v>
      </c>
      <c r="B371" s="111">
        <f t="shared" si="62"/>
        <v>367</v>
      </c>
      <c r="C371" s="22" t="s">
        <v>1201</v>
      </c>
      <c r="D371" s="22" t="s">
        <v>1231</v>
      </c>
      <c r="E371" s="21" t="s">
        <v>1236</v>
      </c>
      <c r="F371" s="21" t="s">
        <v>1237</v>
      </c>
      <c r="G371" s="22" t="s">
        <v>1226</v>
      </c>
      <c r="H371" s="127" t="str">
        <f t="shared" si="65"/>
        <v>ALTA</v>
      </c>
      <c r="I371" s="111"/>
      <c r="J371" s="24" t="s">
        <v>10</v>
      </c>
      <c r="K371" s="24"/>
      <c r="L371" s="24" t="s">
        <v>87</v>
      </c>
      <c r="M371" s="24"/>
      <c r="N371" s="24"/>
      <c r="O371" s="25" t="s">
        <v>1197</v>
      </c>
      <c r="P371" s="112"/>
      <c r="Q371" s="24"/>
      <c r="R371" s="82">
        <f>Tabla1[[#This Row],[Origin Date ]]+3</f>
        <v>45923</v>
      </c>
      <c r="S371" s="2"/>
      <c r="T371" s="83" t="str">
        <f t="shared" si="69"/>
        <v>-</v>
      </c>
      <c r="U371" s="35" t="str">
        <f t="shared" ca="1" si="70"/>
        <v>Atrasada</v>
      </c>
      <c r="V371" s="24" t="str">
        <f t="shared" si="68"/>
        <v>Abierta</v>
      </c>
      <c r="W371" s="51">
        <v>0.2</v>
      </c>
      <c r="X371" s="54"/>
      <c r="Y371" s="102" t="s">
        <v>58</v>
      </c>
      <c r="Z371" s="36"/>
      <c r="AA371" s="36"/>
      <c r="AB371" s="52">
        <f>Tabla1[[#This Row],[Fecha de Entrega
End Date]]+$Z371</f>
        <v>0</v>
      </c>
      <c r="AC371" s="44"/>
      <c r="AD371" s="53"/>
      <c r="AE371" s="37"/>
    </row>
    <row r="372" spans="1:31" ht="50.1" customHeight="1" x14ac:dyDescent="0.3">
      <c r="A372" s="2">
        <v>45920</v>
      </c>
      <c r="B372" s="111">
        <f t="shared" si="62"/>
        <v>368</v>
      </c>
      <c r="C372" s="22" t="s">
        <v>1201</v>
      </c>
      <c r="D372" s="22" t="s">
        <v>1208</v>
      </c>
      <c r="E372" s="21" t="s">
        <v>1238</v>
      </c>
      <c r="F372" s="21" t="s">
        <v>1239</v>
      </c>
      <c r="G372" s="22" t="s">
        <v>1226</v>
      </c>
      <c r="H372" s="127" t="str">
        <f t="shared" si="65"/>
        <v>ALTA</v>
      </c>
      <c r="I372" s="111"/>
      <c r="J372" s="24" t="s">
        <v>10</v>
      </c>
      <c r="K372" s="24"/>
      <c r="L372" s="24" t="s">
        <v>87</v>
      </c>
      <c r="M372" s="24"/>
      <c r="N372" s="24"/>
      <c r="O372" s="25" t="s">
        <v>1197</v>
      </c>
      <c r="P372" s="112"/>
      <c r="Q372" s="24"/>
      <c r="R372" s="82">
        <f>Tabla1[[#This Row],[Origin Date ]]+3</f>
        <v>45923</v>
      </c>
      <c r="S372" s="2"/>
      <c r="T372" s="83" t="str">
        <f t="shared" si="69"/>
        <v>-</v>
      </c>
      <c r="U372" s="35" t="str">
        <f t="shared" ca="1" si="70"/>
        <v>Atrasada</v>
      </c>
      <c r="V372" s="24" t="str">
        <f t="shared" si="68"/>
        <v>Abierta</v>
      </c>
      <c r="W372" s="51">
        <v>0.2</v>
      </c>
      <c r="X372" s="54"/>
      <c r="Y372" s="102" t="s">
        <v>58</v>
      </c>
      <c r="Z372" s="36"/>
      <c r="AA372" s="36"/>
      <c r="AB372" s="52">
        <f>Tabla1[[#This Row],[Fecha de Entrega
End Date]]+$Z372</f>
        <v>0</v>
      </c>
      <c r="AC372" s="44"/>
      <c r="AD372" s="53"/>
      <c r="AE372" s="37"/>
    </row>
    <row r="373" spans="1:31" ht="50.1" customHeight="1" x14ac:dyDescent="0.3">
      <c r="A373" s="2">
        <v>45920</v>
      </c>
      <c r="B373" s="111">
        <f t="shared" si="62"/>
        <v>369</v>
      </c>
      <c r="C373" s="22" t="s">
        <v>1201</v>
      </c>
      <c r="D373" s="22" t="s">
        <v>1231</v>
      </c>
      <c r="E373" s="21" t="s">
        <v>1240</v>
      </c>
      <c r="F373" s="21" t="s">
        <v>1241</v>
      </c>
      <c r="G373" s="22" t="s">
        <v>1226</v>
      </c>
      <c r="H373" s="127" t="str">
        <f t="shared" si="65"/>
        <v>ALTA</v>
      </c>
      <c r="I373" s="111"/>
      <c r="J373" s="24" t="s">
        <v>10</v>
      </c>
      <c r="K373" s="24"/>
      <c r="L373" s="24" t="s">
        <v>87</v>
      </c>
      <c r="M373" s="24"/>
      <c r="N373" s="24"/>
      <c r="O373" s="25" t="s">
        <v>1197</v>
      </c>
      <c r="P373" s="112"/>
      <c r="Q373" s="24"/>
      <c r="R373" s="82">
        <f>Tabla1[[#This Row],[Origin Date ]]+3</f>
        <v>45923</v>
      </c>
      <c r="S373" s="2"/>
      <c r="T373" s="83" t="str">
        <f t="shared" si="69"/>
        <v>-</v>
      </c>
      <c r="U373" s="35" t="str">
        <f t="shared" ca="1" si="70"/>
        <v>Atrasada</v>
      </c>
      <c r="V373" s="24" t="str">
        <f t="shared" si="68"/>
        <v>Abierta</v>
      </c>
      <c r="W373" s="51">
        <v>0.2</v>
      </c>
      <c r="X373" s="54"/>
      <c r="Y373" s="102" t="s">
        <v>58</v>
      </c>
      <c r="Z373" s="36"/>
      <c r="AA373" s="36"/>
      <c r="AB373" s="52">
        <f>Tabla1[[#This Row],[Fecha de Entrega
End Date]]+$Z373</f>
        <v>0</v>
      </c>
      <c r="AC373" s="44"/>
      <c r="AD373" s="53"/>
      <c r="AE373" s="37"/>
    </row>
    <row r="374" spans="1:31" ht="50.1" customHeight="1" x14ac:dyDescent="0.3">
      <c r="A374" s="2">
        <v>45922</v>
      </c>
      <c r="B374" s="111">
        <f t="shared" si="62"/>
        <v>370</v>
      </c>
      <c r="C374" s="22" t="s">
        <v>1201</v>
      </c>
      <c r="D374" s="22" t="s">
        <v>1208</v>
      </c>
      <c r="E374" s="21" t="s">
        <v>1242</v>
      </c>
      <c r="F374" s="21" t="s">
        <v>1243</v>
      </c>
      <c r="G374" s="22" t="s">
        <v>1226</v>
      </c>
      <c r="H374" s="127" t="str">
        <f t="shared" si="65"/>
        <v>ALTA</v>
      </c>
      <c r="I374" s="111"/>
      <c r="J374" s="24" t="s">
        <v>10</v>
      </c>
      <c r="K374" s="24"/>
      <c r="L374" s="24" t="s">
        <v>87</v>
      </c>
      <c r="M374" s="24"/>
      <c r="N374" s="24"/>
      <c r="O374" s="25" t="s">
        <v>1197</v>
      </c>
      <c r="P374" s="112"/>
      <c r="Q374" s="24"/>
      <c r="R374" s="82">
        <f>Tabla1[[#This Row],[Origin Date ]]+3</f>
        <v>45925</v>
      </c>
      <c r="S374" s="2"/>
      <c r="T374" s="83" t="str">
        <f t="shared" si="69"/>
        <v>-</v>
      </c>
      <c r="U374" s="35" t="str">
        <f t="shared" ca="1" si="70"/>
        <v>Atrasada</v>
      </c>
      <c r="V374" s="24" t="str">
        <f t="shared" si="68"/>
        <v>Abierta</v>
      </c>
      <c r="W374" s="51">
        <v>0.2</v>
      </c>
      <c r="X374" s="54"/>
      <c r="Y374" s="102" t="s">
        <v>58</v>
      </c>
      <c r="Z374" s="36"/>
      <c r="AA374" s="36"/>
      <c r="AB374" s="52">
        <f>Tabla1[[#This Row],[Fecha de Entrega
End Date]]+$Z374</f>
        <v>0</v>
      </c>
      <c r="AC374" s="44"/>
      <c r="AD374" s="53"/>
      <c r="AE374" s="37"/>
    </row>
    <row r="375" spans="1:31" ht="50.1" customHeight="1" x14ac:dyDescent="0.3">
      <c r="A375" s="2">
        <v>45922</v>
      </c>
      <c r="B375" s="111">
        <f t="shared" si="62"/>
        <v>371</v>
      </c>
      <c r="C375" s="22" t="s">
        <v>1201</v>
      </c>
      <c r="D375" s="22" t="s">
        <v>1208</v>
      </c>
      <c r="E375" s="21" t="s">
        <v>1244</v>
      </c>
      <c r="F375" s="21" t="s">
        <v>1245</v>
      </c>
      <c r="G375" s="22" t="s">
        <v>1226</v>
      </c>
      <c r="H375" s="127" t="str">
        <f t="shared" si="65"/>
        <v>ALTA</v>
      </c>
      <c r="I375" s="111"/>
      <c r="J375" s="24" t="s">
        <v>10</v>
      </c>
      <c r="K375" s="24"/>
      <c r="L375" s="24" t="s">
        <v>87</v>
      </c>
      <c r="M375" s="24"/>
      <c r="N375" s="24"/>
      <c r="O375" s="25" t="s">
        <v>1197</v>
      </c>
      <c r="P375" s="112"/>
      <c r="Q375" s="24"/>
      <c r="R375" s="82">
        <f>Tabla1[[#This Row],[Origin Date ]]+3</f>
        <v>45925</v>
      </c>
      <c r="S375" s="2"/>
      <c r="T375" s="83" t="str">
        <f t="shared" si="69"/>
        <v>-</v>
      </c>
      <c r="U375" s="35" t="str">
        <f t="shared" ca="1" si="70"/>
        <v>Atrasada</v>
      </c>
      <c r="V375" s="24" t="str">
        <f t="shared" si="68"/>
        <v>Abierta</v>
      </c>
      <c r="W375" s="51">
        <v>0.2</v>
      </c>
      <c r="X375" s="54"/>
      <c r="Y375" s="102" t="s">
        <v>58</v>
      </c>
      <c r="Z375" s="36"/>
      <c r="AA375" s="36"/>
      <c r="AB375" s="52">
        <f>Tabla1[[#This Row],[Fecha de Entrega
End Date]]+$Z375</f>
        <v>0</v>
      </c>
      <c r="AC375" s="44"/>
      <c r="AD375" s="53"/>
      <c r="AE375" s="37"/>
    </row>
    <row r="376" spans="1:31" ht="50.1" customHeight="1" x14ac:dyDescent="0.3">
      <c r="A376" s="2">
        <v>45922</v>
      </c>
      <c r="B376" s="111">
        <f t="shared" si="62"/>
        <v>372</v>
      </c>
      <c r="C376" s="22" t="s">
        <v>1201</v>
      </c>
      <c r="D376" s="22" t="s">
        <v>1246</v>
      </c>
      <c r="E376" s="21" t="s">
        <v>1247</v>
      </c>
      <c r="F376" s="21" t="s">
        <v>1248</v>
      </c>
      <c r="G376" s="22" t="s">
        <v>1249</v>
      </c>
      <c r="H376" s="127" t="str">
        <f t="shared" si="65"/>
        <v>ALTA</v>
      </c>
      <c r="I376" s="111"/>
      <c r="J376" s="24" t="s">
        <v>10</v>
      </c>
      <c r="K376" s="24"/>
      <c r="L376" s="24" t="s">
        <v>87</v>
      </c>
      <c r="M376" s="24"/>
      <c r="N376" s="24"/>
      <c r="O376" s="25" t="s">
        <v>1197</v>
      </c>
      <c r="P376" s="112"/>
      <c r="Q376" s="24"/>
      <c r="R376" s="82">
        <f>Tabla1[[#This Row],[Origin Date ]]+3</f>
        <v>45925</v>
      </c>
      <c r="S376" s="2"/>
      <c r="T376" s="83" t="str">
        <f t="shared" si="69"/>
        <v>-</v>
      </c>
      <c r="U376" s="35" t="str">
        <f t="shared" ca="1" si="70"/>
        <v>Atrasada</v>
      </c>
      <c r="V376" s="24" t="str">
        <f t="shared" si="68"/>
        <v>Abierta</v>
      </c>
      <c r="W376" s="51">
        <v>0.2</v>
      </c>
      <c r="X376" s="54"/>
      <c r="Y376" s="102" t="s">
        <v>58</v>
      </c>
      <c r="Z376" s="36"/>
      <c r="AA376" s="36"/>
      <c r="AB376" s="52">
        <f>Tabla1[[#This Row],[Fecha de Entrega
End Date]]+$Z376</f>
        <v>0</v>
      </c>
      <c r="AC376" s="44"/>
      <c r="AD376" s="53"/>
      <c r="AE376" s="37"/>
    </row>
    <row r="377" spans="1:31" ht="50.1" customHeight="1" x14ac:dyDescent="0.3">
      <c r="A377" s="2">
        <v>45922</v>
      </c>
      <c r="B377" s="111">
        <f t="shared" si="62"/>
        <v>373</v>
      </c>
      <c r="C377" s="22" t="s">
        <v>1201</v>
      </c>
      <c r="D377" s="22" t="s">
        <v>1246</v>
      </c>
      <c r="E377" s="21" t="s">
        <v>1250</v>
      </c>
      <c r="F377" s="21" t="s">
        <v>1251</v>
      </c>
      <c r="G377" s="22" t="s">
        <v>1249</v>
      </c>
      <c r="H377" s="127" t="str">
        <f t="shared" si="65"/>
        <v>ALTA</v>
      </c>
      <c r="I377" s="111"/>
      <c r="J377" s="24" t="s">
        <v>10</v>
      </c>
      <c r="K377" s="24"/>
      <c r="L377" s="24" t="s">
        <v>87</v>
      </c>
      <c r="M377" s="24"/>
      <c r="N377" s="24"/>
      <c r="O377" s="25" t="s">
        <v>1197</v>
      </c>
      <c r="P377" s="112"/>
      <c r="Q377" s="24"/>
      <c r="R377" s="82">
        <f>Tabla1[[#This Row],[Origin Date ]]+3</f>
        <v>45925</v>
      </c>
      <c r="S377" s="2"/>
      <c r="T377" s="83" t="str">
        <f t="shared" si="69"/>
        <v>-</v>
      </c>
      <c r="U377" s="35" t="str">
        <f t="shared" ca="1" si="70"/>
        <v>Atrasada</v>
      </c>
      <c r="V377" s="24" t="str">
        <f t="shared" si="68"/>
        <v>Abierta</v>
      </c>
      <c r="W377" s="51">
        <v>0.2</v>
      </c>
      <c r="X377" s="54"/>
      <c r="Y377" s="102" t="s">
        <v>58</v>
      </c>
      <c r="Z377" s="36"/>
      <c r="AA377" s="36"/>
      <c r="AB377" s="52">
        <f>Tabla1[[#This Row],[Fecha de Entrega
End Date]]+$Z377</f>
        <v>0</v>
      </c>
      <c r="AC377" s="44"/>
      <c r="AD377" s="53"/>
      <c r="AE377" s="37"/>
    </row>
    <row r="378" spans="1:31" ht="50.1" customHeight="1" x14ac:dyDescent="0.3">
      <c r="A378" s="2">
        <v>45922</v>
      </c>
      <c r="B378" s="111">
        <f t="shared" si="62"/>
        <v>374</v>
      </c>
      <c r="C378" s="22" t="s">
        <v>1201</v>
      </c>
      <c r="D378" s="22" t="s">
        <v>1246</v>
      </c>
      <c r="E378" s="21" t="s">
        <v>1252</v>
      </c>
      <c r="F378" s="21" t="s">
        <v>1253</v>
      </c>
      <c r="G378" s="22" t="s">
        <v>1249</v>
      </c>
      <c r="H378" s="127" t="str">
        <f t="shared" si="65"/>
        <v>ALTA</v>
      </c>
      <c r="I378" s="111"/>
      <c r="J378" s="24" t="s">
        <v>10</v>
      </c>
      <c r="K378" s="24"/>
      <c r="L378" s="24" t="s">
        <v>87</v>
      </c>
      <c r="M378" s="24"/>
      <c r="N378" s="24"/>
      <c r="O378" s="25" t="s">
        <v>1197</v>
      </c>
      <c r="P378" s="112"/>
      <c r="Q378" s="24"/>
      <c r="R378" s="82">
        <f>Tabla1[[#This Row],[Origin Date ]]+3</f>
        <v>45925</v>
      </c>
      <c r="S378" s="2"/>
      <c r="T378" s="83" t="str">
        <f t="shared" si="69"/>
        <v>-</v>
      </c>
      <c r="U378" s="35" t="str">
        <f t="shared" ca="1" si="70"/>
        <v>Atrasada</v>
      </c>
      <c r="V378" s="24" t="str">
        <f t="shared" si="68"/>
        <v>Abierta</v>
      </c>
      <c r="W378" s="51">
        <v>0.2</v>
      </c>
      <c r="X378" s="54"/>
      <c r="Y378" s="102" t="s">
        <v>58</v>
      </c>
      <c r="Z378" s="36"/>
      <c r="AA378" s="36"/>
      <c r="AB378" s="52">
        <f>Tabla1[[#This Row],[Fecha de Entrega
End Date]]+$Z378</f>
        <v>0</v>
      </c>
      <c r="AC378" s="44"/>
      <c r="AD378" s="53"/>
      <c r="AE378" s="37"/>
    </row>
    <row r="379" spans="1:31" ht="50.1" customHeight="1" x14ac:dyDescent="0.3">
      <c r="A379" s="2">
        <v>45922</v>
      </c>
      <c r="B379" s="111">
        <f t="shared" si="62"/>
        <v>375</v>
      </c>
      <c r="C379" s="22" t="s">
        <v>1201</v>
      </c>
      <c r="D379" s="22" t="s">
        <v>1246</v>
      </c>
      <c r="E379" s="21" t="s">
        <v>1254</v>
      </c>
      <c r="F379" s="21" t="s">
        <v>1255</v>
      </c>
      <c r="G379" s="22" t="s">
        <v>1249</v>
      </c>
      <c r="H379" s="127" t="str">
        <f t="shared" si="65"/>
        <v>ALTA</v>
      </c>
      <c r="I379" s="111"/>
      <c r="J379" s="24" t="s">
        <v>10</v>
      </c>
      <c r="K379" s="24"/>
      <c r="L379" s="24" t="s">
        <v>87</v>
      </c>
      <c r="M379" s="24"/>
      <c r="N379" s="24"/>
      <c r="O379" s="25" t="s">
        <v>1197</v>
      </c>
      <c r="P379" s="112"/>
      <c r="Q379" s="24"/>
      <c r="R379" s="82">
        <f>Tabla1[[#This Row],[Origin Date ]]+3</f>
        <v>45925</v>
      </c>
      <c r="S379" s="2"/>
      <c r="T379" s="83" t="str">
        <f t="shared" si="69"/>
        <v>-</v>
      </c>
      <c r="U379" s="35" t="str">
        <f t="shared" ca="1" si="70"/>
        <v>Atrasada</v>
      </c>
      <c r="V379" s="24" t="str">
        <f t="shared" si="68"/>
        <v>Abierta</v>
      </c>
      <c r="W379" s="51">
        <v>0.2</v>
      </c>
      <c r="X379" s="54"/>
      <c r="Y379" s="102" t="s">
        <v>58</v>
      </c>
      <c r="Z379" s="36"/>
      <c r="AA379" s="36"/>
      <c r="AB379" s="52">
        <f>Tabla1[[#This Row],[Fecha de Entrega
End Date]]+$Z379</f>
        <v>0</v>
      </c>
      <c r="AC379" s="44"/>
      <c r="AD379" s="53"/>
      <c r="AE379" s="37"/>
    </row>
    <row r="380" spans="1:31" ht="50.1" customHeight="1" x14ac:dyDescent="0.3">
      <c r="A380" s="2">
        <v>45922</v>
      </c>
      <c r="B380" s="111">
        <f t="shared" si="62"/>
        <v>376</v>
      </c>
      <c r="C380" s="22" t="s">
        <v>1201</v>
      </c>
      <c r="D380" s="22" t="s">
        <v>1231</v>
      </c>
      <c r="E380" s="21" t="s">
        <v>1256</v>
      </c>
      <c r="F380" s="21" t="s">
        <v>1257</v>
      </c>
      <c r="G380" s="81" t="s">
        <v>1258</v>
      </c>
      <c r="H380" s="127" t="str">
        <f t="shared" si="65"/>
        <v>ALTA</v>
      </c>
      <c r="I380" s="111"/>
      <c r="J380" s="24" t="s">
        <v>10</v>
      </c>
      <c r="K380" s="24"/>
      <c r="L380" s="24" t="s">
        <v>87</v>
      </c>
      <c r="M380" s="24"/>
      <c r="N380" s="24"/>
      <c r="O380" s="25" t="s">
        <v>1197</v>
      </c>
      <c r="P380" s="112"/>
      <c r="Q380" s="24"/>
      <c r="R380" s="82">
        <f>Tabla1[[#This Row],[Origin Date ]]+3</f>
        <v>45925</v>
      </c>
      <c r="S380" s="2"/>
      <c r="T380" s="83" t="str">
        <f t="shared" si="69"/>
        <v>-</v>
      </c>
      <c r="U380" s="35" t="str">
        <f t="shared" ca="1" si="70"/>
        <v>Atrasada</v>
      </c>
      <c r="V380" s="24" t="str">
        <f t="shared" si="68"/>
        <v>Abierta</v>
      </c>
      <c r="W380" s="51">
        <v>0.2</v>
      </c>
      <c r="X380" s="54"/>
      <c r="Y380" s="102" t="s">
        <v>58</v>
      </c>
      <c r="Z380" s="36"/>
      <c r="AA380" s="36"/>
      <c r="AB380" s="52">
        <f>Tabla1[[#This Row],[Fecha de Entrega
End Date]]+$Z380</f>
        <v>0</v>
      </c>
      <c r="AC380" s="44"/>
      <c r="AD380" s="53"/>
      <c r="AE380" s="37"/>
    </row>
    <row r="381" spans="1:31" ht="50.1" customHeight="1" x14ac:dyDescent="0.3">
      <c r="A381" s="2">
        <v>45922</v>
      </c>
      <c r="B381" s="111">
        <f t="shared" ref="B381:B409" si="71">IF(A381&lt;&gt;"",1+B380,"")</f>
        <v>377</v>
      </c>
      <c r="C381" s="22" t="s">
        <v>1201</v>
      </c>
      <c r="D381" s="22" t="s">
        <v>1231</v>
      </c>
      <c r="E381" s="21" t="s">
        <v>1259</v>
      </c>
      <c r="F381" s="21" t="s">
        <v>1260</v>
      </c>
      <c r="G381" s="81" t="s">
        <v>1258</v>
      </c>
      <c r="H381" s="127" t="str">
        <f t="shared" si="65"/>
        <v>ALTA</v>
      </c>
      <c r="I381" s="111"/>
      <c r="J381" s="24" t="s">
        <v>10</v>
      </c>
      <c r="K381" s="24"/>
      <c r="L381" s="24" t="s">
        <v>87</v>
      </c>
      <c r="M381" s="24"/>
      <c r="N381" s="24"/>
      <c r="O381" s="25" t="s">
        <v>1197</v>
      </c>
      <c r="P381" s="112"/>
      <c r="Q381" s="24"/>
      <c r="R381" s="82">
        <f>Tabla1[[#This Row],[Origin Date ]]+3</f>
        <v>45925</v>
      </c>
      <c r="S381" s="2"/>
      <c r="T381" s="83" t="str">
        <f t="shared" si="69"/>
        <v>-</v>
      </c>
      <c r="U381" s="35" t="str">
        <f t="shared" ca="1" si="70"/>
        <v>Atrasada</v>
      </c>
      <c r="V381" s="24" t="str">
        <f t="shared" si="68"/>
        <v>Abierta</v>
      </c>
      <c r="W381" s="51">
        <v>0.2</v>
      </c>
      <c r="X381" s="54"/>
      <c r="Y381" s="102" t="s">
        <v>58</v>
      </c>
      <c r="Z381" s="36"/>
      <c r="AA381" s="36"/>
      <c r="AB381" s="52">
        <f>Tabla1[[#This Row],[Fecha de Entrega
End Date]]+$Z381</f>
        <v>0</v>
      </c>
      <c r="AC381" s="44"/>
      <c r="AD381" s="53"/>
      <c r="AE381" s="37"/>
    </row>
    <row r="382" spans="1:31" ht="50.1" customHeight="1" x14ac:dyDescent="0.3">
      <c r="A382" s="2">
        <v>45922</v>
      </c>
      <c r="B382" s="111">
        <f t="shared" si="71"/>
        <v>378</v>
      </c>
      <c r="C382" s="22" t="s">
        <v>1201</v>
      </c>
      <c r="D382" s="22" t="s">
        <v>1231</v>
      </c>
      <c r="E382" s="21" t="s">
        <v>1259</v>
      </c>
      <c r="F382" s="21" t="s">
        <v>1261</v>
      </c>
      <c r="G382" s="81" t="s">
        <v>1258</v>
      </c>
      <c r="H382" s="127" t="str">
        <f t="shared" si="65"/>
        <v>ALTA</v>
      </c>
      <c r="I382" s="111"/>
      <c r="J382" s="24" t="s">
        <v>10</v>
      </c>
      <c r="K382" s="24"/>
      <c r="L382" s="24" t="s">
        <v>87</v>
      </c>
      <c r="M382" s="24"/>
      <c r="N382" s="24"/>
      <c r="O382" s="25" t="s">
        <v>1197</v>
      </c>
      <c r="P382" s="112"/>
      <c r="Q382" s="24"/>
      <c r="R382" s="82">
        <f>Tabla1[[#This Row],[Origin Date ]]+3</f>
        <v>45925</v>
      </c>
      <c r="S382" s="2"/>
      <c r="T382" s="83" t="str">
        <f t="shared" si="69"/>
        <v>-</v>
      </c>
      <c r="U382" s="35" t="str">
        <f t="shared" ca="1" si="70"/>
        <v>Atrasada</v>
      </c>
      <c r="V382" s="24" t="str">
        <f t="shared" si="68"/>
        <v>Abierta</v>
      </c>
      <c r="W382" s="51">
        <v>0.2</v>
      </c>
      <c r="X382" s="54"/>
      <c r="Y382" s="102" t="s">
        <v>58</v>
      </c>
      <c r="Z382" s="36"/>
      <c r="AA382" s="36"/>
      <c r="AB382" s="52">
        <f>Tabla1[[#This Row],[Fecha de Entrega
End Date]]+$Z382</f>
        <v>0</v>
      </c>
      <c r="AC382" s="44"/>
      <c r="AD382" s="53"/>
      <c r="AE382" s="37"/>
    </row>
    <row r="383" spans="1:31" ht="50.1" customHeight="1" x14ac:dyDescent="0.3">
      <c r="A383" s="2">
        <v>45922</v>
      </c>
      <c r="B383" s="111">
        <f t="shared" si="71"/>
        <v>379</v>
      </c>
      <c r="C383" s="22" t="s">
        <v>1201</v>
      </c>
      <c r="D383" s="22" t="s">
        <v>1231</v>
      </c>
      <c r="E383" s="21" t="s">
        <v>1259</v>
      </c>
      <c r="F383" s="21" t="s">
        <v>1262</v>
      </c>
      <c r="G383" s="81" t="s">
        <v>1258</v>
      </c>
      <c r="H383" s="127" t="str">
        <f t="shared" si="65"/>
        <v>ALTA</v>
      </c>
      <c r="I383" s="111"/>
      <c r="J383" s="24" t="s">
        <v>10</v>
      </c>
      <c r="K383" s="24"/>
      <c r="L383" s="24" t="s">
        <v>87</v>
      </c>
      <c r="M383" s="24"/>
      <c r="N383" s="24"/>
      <c r="O383" s="25" t="s">
        <v>1197</v>
      </c>
      <c r="P383" s="112"/>
      <c r="Q383" s="24"/>
      <c r="R383" s="82">
        <f>Tabla1[[#This Row],[Origin Date ]]+3</f>
        <v>45925</v>
      </c>
      <c r="S383" s="2"/>
      <c r="T383" s="83" t="str">
        <f t="shared" si="69"/>
        <v>-</v>
      </c>
      <c r="U383" s="35" t="str">
        <f t="shared" ca="1" si="70"/>
        <v>Atrasada</v>
      </c>
      <c r="V383" s="24" t="str">
        <f t="shared" si="68"/>
        <v>Abierta</v>
      </c>
      <c r="W383" s="51">
        <v>0.2</v>
      </c>
      <c r="X383" s="54"/>
      <c r="Y383" s="102" t="s">
        <v>58</v>
      </c>
      <c r="Z383" s="36"/>
      <c r="AA383" s="36"/>
      <c r="AB383" s="52">
        <f>Tabla1[[#This Row],[Fecha de Entrega
End Date]]+$Z383</f>
        <v>0</v>
      </c>
      <c r="AC383" s="44"/>
      <c r="AD383" s="53"/>
      <c r="AE383" s="37"/>
    </row>
    <row r="384" spans="1:31" ht="50.1" customHeight="1" x14ac:dyDescent="0.3">
      <c r="A384" s="2">
        <v>45922</v>
      </c>
      <c r="B384" s="111">
        <f t="shared" si="71"/>
        <v>380</v>
      </c>
      <c r="C384" s="22" t="s">
        <v>1201</v>
      </c>
      <c r="D384" s="22" t="s">
        <v>1231</v>
      </c>
      <c r="E384" s="21" t="s">
        <v>1259</v>
      </c>
      <c r="F384" s="21" t="s">
        <v>1263</v>
      </c>
      <c r="G384" s="81" t="s">
        <v>1258</v>
      </c>
      <c r="H384" s="127" t="str">
        <f t="shared" si="65"/>
        <v>ALTA</v>
      </c>
      <c r="I384" s="111"/>
      <c r="J384" s="24" t="s">
        <v>10</v>
      </c>
      <c r="K384" s="24"/>
      <c r="L384" s="24" t="s">
        <v>87</v>
      </c>
      <c r="M384" s="24"/>
      <c r="N384" s="24"/>
      <c r="O384" s="25" t="s">
        <v>1197</v>
      </c>
      <c r="P384" s="112"/>
      <c r="Q384" s="24"/>
      <c r="R384" s="82">
        <f>Tabla1[[#This Row],[Origin Date ]]+3</f>
        <v>45925</v>
      </c>
      <c r="S384" s="2"/>
      <c r="T384" s="83" t="str">
        <f t="shared" si="69"/>
        <v>-</v>
      </c>
      <c r="U384" s="35" t="str">
        <f t="shared" ca="1" si="70"/>
        <v>Atrasada</v>
      </c>
      <c r="V384" s="24" t="str">
        <f t="shared" si="68"/>
        <v>Abierta</v>
      </c>
      <c r="W384" s="51">
        <v>0.2</v>
      </c>
      <c r="X384" s="54"/>
      <c r="Y384" s="102" t="s">
        <v>58</v>
      </c>
      <c r="Z384" s="36"/>
      <c r="AA384" s="36"/>
      <c r="AB384" s="52">
        <f>Tabla1[[#This Row],[Fecha de Entrega
End Date]]+$Z384</f>
        <v>0</v>
      </c>
      <c r="AC384" s="44"/>
      <c r="AD384" s="53"/>
      <c r="AE384" s="37"/>
    </row>
    <row r="385" spans="1:31" ht="50.1" customHeight="1" x14ac:dyDescent="0.3">
      <c r="A385" s="2">
        <v>45922</v>
      </c>
      <c r="B385" s="111">
        <f t="shared" si="71"/>
        <v>381</v>
      </c>
      <c r="C385" s="22" t="s">
        <v>1201</v>
      </c>
      <c r="D385" s="22" t="s">
        <v>1264</v>
      </c>
      <c r="E385" s="21" t="s">
        <v>1265</v>
      </c>
      <c r="F385" s="21" t="s">
        <v>1266</v>
      </c>
      <c r="G385" s="81" t="s">
        <v>1267</v>
      </c>
      <c r="H385" s="127" t="str">
        <f t="shared" si="65"/>
        <v>ALTA</v>
      </c>
      <c r="I385" s="111"/>
      <c r="J385" s="24" t="s">
        <v>10</v>
      </c>
      <c r="K385" s="24"/>
      <c r="L385" s="24" t="s">
        <v>87</v>
      </c>
      <c r="M385" s="24"/>
      <c r="N385" s="24"/>
      <c r="O385" s="25" t="s">
        <v>1197</v>
      </c>
      <c r="P385" s="112"/>
      <c r="Q385" s="24"/>
      <c r="R385" s="82">
        <f>Tabla1[[#This Row],[Origin Date ]]+3</f>
        <v>45925</v>
      </c>
      <c r="S385" s="2"/>
      <c r="T385" s="83" t="str">
        <f t="shared" si="69"/>
        <v>-</v>
      </c>
      <c r="U385" s="35" t="str">
        <f t="shared" ca="1" si="70"/>
        <v>Atrasada</v>
      </c>
      <c r="V385" s="24" t="str">
        <f t="shared" si="68"/>
        <v>Abierta</v>
      </c>
      <c r="W385" s="51">
        <v>0.2</v>
      </c>
      <c r="X385" s="54"/>
      <c r="Y385" s="102" t="s">
        <v>58</v>
      </c>
      <c r="Z385" s="36"/>
      <c r="AA385" s="36"/>
      <c r="AB385" s="52">
        <f>Tabla1[[#This Row],[Fecha de Entrega
End Date]]+$Z385</f>
        <v>0</v>
      </c>
      <c r="AC385" s="44"/>
      <c r="AD385" s="53"/>
      <c r="AE385" s="37"/>
    </row>
    <row r="386" spans="1:31" ht="50.1" customHeight="1" x14ac:dyDescent="0.3">
      <c r="A386" s="2">
        <v>45922</v>
      </c>
      <c r="B386" s="111">
        <f t="shared" si="71"/>
        <v>382</v>
      </c>
      <c r="C386" s="22" t="s">
        <v>1201</v>
      </c>
      <c r="D386" s="22" t="s">
        <v>1264</v>
      </c>
      <c r="E386" s="21" t="s">
        <v>1265</v>
      </c>
      <c r="F386" s="21" t="s">
        <v>1268</v>
      </c>
      <c r="G386" s="81" t="s">
        <v>1267</v>
      </c>
      <c r="H386" s="127" t="str">
        <f t="shared" ref="H386:H409" si="72">IF((A386=""),"",IF((V386="Cerrada"),"ATENDIDO",IF(OR((($AA$2-A386)=0),(($AA$2-A386)=-1),(($AA$2-A386)=-2),(($AA$2-A386)=-3)),"BAJO",IF((T386="-3"),"MEDIO","ALTA"))))</f>
        <v>ALTA</v>
      </c>
      <c r="I386" s="111"/>
      <c r="J386" s="24" t="s">
        <v>10</v>
      </c>
      <c r="K386" s="24"/>
      <c r="L386" s="24" t="s">
        <v>87</v>
      </c>
      <c r="M386" s="24"/>
      <c r="N386" s="24"/>
      <c r="O386" s="25" t="s">
        <v>1197</v>
      </c>
      <c r="P386" s="112"/>
      <c r="Q386" s="24"/>
      <c r="R386" s="82">
        <f>Tabla1[[#This Row],[Origin Date ]]+3</f>
        <v>45925</v>
      </c>
      <c r="S386" s="2"/>
      <c r="T386" s="83" t="str">
        <f t="shared" si="69"/>
        <v>-</v>
      </c>
      <c r="U386" s="35" t="str">
        <f t="shared" ca="1" si="70"/>
        <v>Atrasada</v>
      </c>
      <c r="V386" s="24" t="str">
        <f t="shared" si="68"/>
        <v>Abierta</v>
      </c>
      <c r="W386" s="51">
        <v>0.2</v>
      </c>
      <c r="X386" s="54"/>
      <c r="Y386" s="102" t="s">
        <v>58</v>
      </c>
      <c r="Z386" s="36"/>
      <c r="AA386" s="36"/>
      <c r="AB386" s="52">
        <f>Tabla1[[#This Row],[Fecha de Entrega
End Date]]+$Z386</f>
        <v>0</v>
      </c>
      <c r="AC386" s="44"/>
      <c r="AD386" s="53"/>
      <c r="AE386" s="37"/>
    </row>
    <row r="387" spans="1:31" ht="50.1" customHeight="1" x14ac:dyDescent="0.3">
      <c r="A387" s="2">
        <v>45922</v>
      </c>
      <c r="B387" s="111">
        <f t="shared" si="71"/>
        <v>383</v>
      </c>
      <c r="C387" s="22" t="s">
        <v>1201</v>
      </c>
      <c r="D387" s="22" t="s">
        <v>1264</v>
      </c>
      <c r="E387" s="21" t="s">
        <v>1269</v>
      </c>
      <c r="F387" s="21" t="s">
        <v>1270</v>
      </c>
      <c r="G387" s="81" t="s">
        <v>1267</v>
      </c>
      <c r="H387" s="127" t="str">
        <f t="shared" si="72"/>
        <v>ALTA</v>
      </c>
      <c r="I387" s="111"/>
      <c r="J387" s="24" t="s">
        <v>10</v>
      </c>
      <c r="K387" s="24"/>
      <c r="L387" s="24" t="s">
        <v>87</v>
      </c>
      <c r="M387" s="24"/>
      <c r="N387" s="24"/>
      <c r="O387" s="25" t="s">
        <v>1197</v>
      </c>
      <c r="P387" s="112"/>
      <c r="Q387" s="24"/>
      <c r="R387" s="82">
        <f>Tabla1[[#This Row],[Origin Date ]]+3</f>
        <v>45925</v>
      </c>
      <c r="S387" s="2"/>
      <c r="T387" s="83" t="str">
        <f t="shared" si="69"/>
        <v>-</v>
      </c>
      <c r="U387" s="35" t="str">
        <f t="shared" ca="1" si="70"/>
        <v>Atrasada</v>
      </c>
      <c r="V387" s="24" t="str">
        <f t="shared" si="68"/>
        <v>Abierta</v>
      </c>
      <c r="W387" s="51">
        <v>0.2</v>
      </c>
      <c r="X387" s="54"/>
      <c r="Y387" s="102" t="s">
        <v>58</v>
      </c>
      <c r="Z387" s="36"/>
      <c r="AA387" s="36"/>
      <c r="AB387" s="52">
        <f>Tabla1[[#This Row],[Fecha de Entrega
End Date]]+$Z387</f>
        <v>0</v>
      </c>
      <c r="AC387" s="44"/>
      <c r="AD387" s="53"/>
      <c r="AE387" s="37"/>
    </row>
    <row r="388" spans="1:31" ht="50.1" customHeight="1" x14ac:dyDescent="0.3">
      <c r="A388" s="2">
        <v>45922</v>
      </c>
      <c r="B388" s="111">
        <f t="shared" si="71"/>
        <v>384</v>
      </c>
      <c r="C388" s="22" t="s">
        <v>1201</v>
      </c>
      <c r="D388" s="22" t="s">
        <v>1271</v>
      </c>
      <c r="E388" s="21" t="s">
        <v>1272</v>
      </c>
      <c r="F388" s="21" t="s">
        <v>1273</v>
      </c>
      <c r="G388" s="81" t="s">
        <v>1274</v>
      </c>
      <c r="H388" s="127" t="str">
        <f t="shared" si="72"/>
        <v>ALTA</v>
      </c>
      <c r="I388" s="111"/>
      <c r="J388" s="24" t="s">
        <v>10</v>
      </c>
      <c r="K388" s="24"/>
      <c r="L388" s="24" t="s">
        <v>87</v>
      </c>
      <c r="M388" s="24"/>
      <c r="N388" s="24"/>
      <c r="O388" s="25" t="s">
        <v>1197</v>
      </c>
      <c r="P388" s="112"/>
      <c r="Q388" s="24"/>
      <c r="R388" s="82">
        <f>Tabla1[[#This Row],[Origin Date ]]+3</f>
        <v>45925</v>
      </c>
      <c r="S388" s="2"/>
      <c r="T388" s="83" t="str">
        <f t="shared" si="69"/>
        <v>-</v>
      </c>
      <c r="U388" s="35" t="str">
        <f t="shared" ca="1" si="70"/>
        <v>Atrasada</v>
      </c>
      <c r="V388" s="24" t="str">
        <f t="shared" si="68"/>
        <v>Abierta</v>
      </c>
      <c r="W388" s="51">
        <v>0.2</v>
      </c>
      <c r="X388" s="54"/>
      <c r="Y388" s="102" t="s">
        <v>58</v>
      </c>
      <c r="Z388" s="36"/>
      <c r="AA388" s="36"/>
      <c r="AB388" s="52">
        <f>Tabla1[[#This Row],[Fecha de Entrega
End Date]]+$Z388</f>
        <v>0</v>
      </c>
      <c r="AC388" s="44"/>
      <c r="AD388" s="53"/>
      <c r="AE388" s="37"/>
    </row>
    <row r="389" spans="1:31" ht="50.1" customHeight="1" x14ac:dyDescent="0.3">
      <c r="A389" s="2">
        <v>45922</v>
      </c>
      <c r="B389" s="111">
        <f t="shared" si="71"/>
        <v>385</v>
      </c>
      <c r="C389" s="22" t="s">
        <v>1201</v>
      </c>
      <c r="D389" s="22" t="s">
        <v>1271</v>
      </c>
      <c r="E389" s="21" t="s">
        <v>1275</v>
      </c>
      <c r="F389" s="21" t="s">
        <v>1276</v>
      </c>
      <c r="G389" s="81" t="s">
        <v>1274</v>
      </c>
      <c r="H389" s="127" t="str">
        <f t="shared" si="72"/>
        <v>ALTA</v>
      </c>
      <c r="I389" s="111"/>
      <c r="J389" s="24" t="s">
        <v>10</v>
      </c>
      <c r="K389" s="24"/>
      <c r="L389" s="24" t="s">
        <v>87</v>
      </c>
      <c r="M389" s="24"/>
      <c r="N389" s="24"/>
      <c r="O389" s="25" t="s">
        <v>1197</v>
      </c>
      <c r="P389" s="112"/>
      <c r="Q389" s="24"/>
      <c r="R389" s="82">
        <f>Tabla1[[#This Row],[Origin Date ]]+3</f>
        <v>45925</v>
      </c>
      <c r="S389" s="2"/>
      <c r="T389" s="83" t="str">
        <f t="shared" si="69"/>
        <v>-</v>
      </c>
      <c r="U389" s="35" t="str">
        <f t="shared" ca="1" si="70"/>
        <v>Atrasada</v>
      </c>
      <c r="V389" s="24" t="str">
        <f t="shared" si="68"/>
        <v>Abierta</v>
      </c>
      <c r="W389" s="51">
        <v>0.2</v>
      </c>
      <c r="X389" s="54"/>
      <c r="Y389" s="102" t="s">
        <v>58</v>
      </c>
      <c r="Z389" s="36"/>
      <c r="AA389" s="36"/>
      <c r="AB389" s="52">
        <f>Tabla1[[#This Row],[Fecha de Entrega
End Date]]+$Z389</f>
        <v>0</v>
      </c>
      <c r="AC389" s="44"/>
      <c r="AD389" s="53"/>
      <c r="AE389" s="37"/>
    </row>
    <row r="390" spans="1:31" ht="50.1" customHeight="1" x14ac:dyDescent="0.3">
      <c r="A390" s="2">
        <v>45924</v>
      </c>
      <c r="B390" s="111">
        <f t="shared" si="71"/>
        <v>386</v>
      </c>
      <c r="C390" s="22" t="s">
        <v>1201</v>
      </c>
      <c r="D390" s="22" t="s">
        <v>1277</v>
      </c>
      <c r="E390" s="21" t="s">
        <v>1278</v>
      </c>
      <c r="F390" s="21" t="s">
        <v>1279</v>
      </c>
      <c r="G390" s="81" t="s">
        <v>1280</v>
      </c>
      <c r="H390" s="127" t="str">
        <f t="shared" si="72"/>
        <v>ALTA</v>
      </c>
      <c r="I390" s="111"/>
      <c r="J390" s="24" t="s">
        <v>10</v>
      </c>
      <c r="K390" s="24"/>
      <c r="L390" s="24" t="s">
        <v>87</v>
      </c>
      <c r="M390" s="24"/>
      <c r="N390" s="24"/>
      <c r="O390" s="25" t="s">
        <v>1197</v>
      </c>
      <c r="P390" s="112"/>
      <c r="Q390" s="24"/>
      <c r="R390" s="82">
        <f>Tabla1[[#This Row],[Origin Date ]]+3</f>
        <v>45927</v>
      </c>
      <c r="S390" s="2"/>
      <c r="T390" s="83" t="str">
        <f t="shared" si="69"/>
        <v>-</v>
      </c>
      <c r="U390" s="35" t="str">
        <f t="shared" ca="1" si="70"/>
        <v>Atrasada</v>
      </c>
      <c r="V390" s="24" t="str">
        <f t="shared" si="68"/>
        <v>Abierta</v>
      </c>
      <c r="W390" s="51">
        <v>0.2</v>
      </c>
      <c r="X390" s="54"/>
      <c r="Y390" s="102" t="s">
        <v>58</v>
      </c>
      <c r="Z390" s="36"/>
      <c r="AA390" s="36"/>
      <c r="AB390" s="52">
        <f>Tabla1[[#This Row],[Fecha de Entrega
End Date]]+$Z390</f>
        <v>0</v>
      </c>
      <c r="AC390" s="44"/>
      <c r="AD390" s="53"/>
      <c r="AE390" s="37"/>
    </row>
    <row r="391" spans="1:31" ht="50.1" customHeight="1" x14ac:dyDescent="0.3">
      <c r="A391" s="2">
        <v>45924</v>
      </c>
      <c r="B391" s="111">
        <f t="shared" si="71"/>
        <v>387</v>
      </c>
      <c r="C391" s="22" t="s">
        <v>1201</v>
      </c>
      <c r="D391" s="22" t="s">
        <v>1277</v>
      </c>
      <c r="E391" s="21" t="s">
        <v>1278</v>
      </c>
      <c r="F391" s="21" t="s">
        <v>1281</v>
      </c>
      <c r="G391" s="81" t="s">
        <v>1280</v>
      </c>
      <c r="H391" s="127" t="str">
        <f t="shared" si="72"/>
        <v>ALTA</v>
      </c>
      <c r="I391" s="111"/>
      <c r="J391" s="24" t="s">
        <v>10</v>
      </c>
      <c r="K391" s="24"/>
      <c r="L391" s="24" t="s">
        <v>87</v>
      </c>
      <c r="M391" s="24"/>
      <c r="N391" s="24"/>
      <c r="O391" s="25" t="s">
        <v>1197</v>
      </c>
      <c r="P391" s="112"/>
      <c r="Q391" s="24"/>
      <c r="R391" s="82">
        <f>Tabla1[[#This Row],[Origin Date ]]+3</f>
        <v>45927</v>
      </c>
      <c r="S391" s="2"/>
      <c r="T391" s="83" t="str">
        <f t="shared" si="69"/>
        <v>-</v>
      </c>
      <c r="U391" s="35" t="str">
        <f t="shared" ca="1" si="70"/>
        <v>Atrasada</v>
      </c>
      <c r="V391" s="24" t="str">
        <f t="shared" si="68"/>
        <v>Abierta</v>
      </c>
      <c r="W391" s="51">
        <v>0.2</v>
      </c>
      <c r="X391" s="54"/>
      <c r="Y391" s="102" t="s">
        <v>58</v>
      </c>
      <c r="Z391" s="36"/>
      <c r="AA391" s="36"/>
      <c r="AB391" s="52">
        <f>Tabla1[[#This Row],[Fecha de Entrega
End Date]]+$Z391</f>
        <v>0</v>
      </c>
      <c r="AC391" s="44"/>
      <c r="AD391" s="53"/>
      <c r="AE391" s="37"/>
    </row>
    <row r="392" spans="1:31" ht="50.1" customHeight="1" x14ac:dyDescent="0.3">
      <c r="A392" s="2">
        <v>45924</v>
      </c>
      <c r="B392" s="111">
        <f t="shared" si="71"/>
        <v>388</v>
      </c>
      <c r="C392" s="22" t="s">
        <v>1201</v>
      </c>
      <c r="D392" s="22" t="s">
        <v>1277</v>
      </c>
      <c r="E392" s="21" t="s">
        <v>1282</v>
      </c>
      <c r="F392" s="21" t="s">
        <v>1283</v>
      </c>
      <c r="G392" s="22" t="s">
        <v>1284</v>
      </c>
      <c r="H392" s="127" t="str">
        <f t="shared" si="72"/>
        <v>ALTA</v>
      </c>
      <c r="I392" s="111"/>
      <c r="J392" s="24" t="s">
        <v>10</v>
      </c>
      <c r="K392" s="24"/>
      <c r="L392" s="24" t="s">
        <v>87</v>
      </c>
      <c r="M392" s="24"/>
      <c r="N392" s="24"/>
      <c r="O392" s="25" t="s">
        <v>1197</v>
      </c>
      <c r="P392" s="112"/>
      <c r="Q392" s="24"/>
      <c r="R392" s="82">
        <f>Tabla1[[#This Row],[Origin Date ]]+3</f>
        <v>45927</v>
      </c>
      <c r="S392" s="2"/>
      <c r="T392" s="83" t="str">
        <f t="shared" si="69"/>
        <v>-</v>
      </c>
      <c r="U392" s="35" t="str">
        <f t="shared" ca="1" si="70"/>
        <v>Atrasada</v>
      </c>
      <c r="V392" s="24" t="str">
        <f t="shared" si="68"/>
        <v>Abierta</v>
      </c>
      <c r="W392" s="51">
        <v>0.2</v>
      </c>
      <c r="X392" s="54"/>
      <c r="Y392" s="102" t="s">
        <v>58</v>
      </c>
      <c r="Z392" s="36"/>
      <c r="AA392" s="36"/>
      <c r="AB392" s="52">
        <f>Tabla1[[#This Row],[Fecha de Entrega
End Date]]+$Z392</f>
        <v>0</v>
      </c>
      <c r="AC392" s="44"/>
      <c r="AD392" s="53"/>
      <c r="AE392" s="37"/>
    </row>
    <row r="393" spans="1:31" ht="50.1" customHeight="1" x14ac:dyDescent="0.3">
      <c r="A393" s="2">
        <v>45924</v>
      </c>
      <c r="B393" s="111">
        <f t="shared" si="71"/>
        <v>389</v>
      </c>
      <c r="C393" s="22" t="s">
        <v>1201</v>
      </c>
      <c r="D393" s="22" t="s">
        <v>1277</v>
      </c>
      <c r="E393" s="21" t="s">
        <v>1285</v>
      </c>
      <c r="F393" s="21" t="s">
        <v>1286</v>
      </c>
      <c r="G393" s="81" t="s">
        <v>1287</v>
      </c>
      <c r="H393" s="127" t="str">
        <f t="shared" si="72"/>
        <v>ALTA</v>
      </c>
      <c r="I393" s="111"/>
      <c r="J393" s="24" t="s">
        <v>10</v>
      </c>
      <c r="K393" s="24"/>
      <c r="L393" s="24" t="s">
        <v>87</v>
      </c>
      <c r="M393" s="24"/>
      <c r="N393" s="24"/>
      <c r="O393" s="25" t="s">
        <v>1197</v>
      </c>
      <c r="P393" s="112"/>
      <c r="Q393" s="24"/>
      <c r="R393" s="82">
        <f>Tabla1[[#This Row],[Origin Date ]]+3</f>
        <v>45927</v>
      </c>
      <c r="S393" s="2"/>
      <c r="T393" s="83" t="str">
        <f t="shared" si="69"/>
        <v>-</v>
      </c>
      <c r="U393" s="35" t="str">
        <f t="shared" ca="1" si="70"/>
        <v>Atrasada</v>
      </c>
      <c r="V393" s="24" t="str">
        <f t="shared" si="68"/>
        <v>Abierta</v>
      </c>
      <c r="W393" s="51">
        <v>0.2</v>
      </c>
      <c r="X393" s="54"/>
      <c r="Y393" s="102" t="s">
        <v>58</v>
      </c>
      <c r="Z393" s="36"/>
      <c r="AA393" s="36"/>
      <c r="AB393" s="52">
        <f>Tabla1[[#This Row],[Fecha de Entrega
End Date]]+$Z393</f>
        <v>0</v>
      </c>
      <c r="AC393" s="44"/>
      <c r="AD393" s="53"/>
      <c r="AE393" s="37"/>
    </row>
    <row r="394" spans="1:31" ht="50.1" customHeight="1" x14ac:dyDescent="0.3">
      <c r="A394" s="2">
        <v>45924</v>
      </c>
      <c r="B394" s="111">
        <f t="shared" si="71"/>
        <v>390</v>
      </c>
      <c r="C394" s="22" t="s">
        <v>1201</v>
      </c>
      <c r="D394" s="22" t="s">
        <v>1277</v>
      </c>
      <c r="E394" s="21" t="s">
        <v>1288</v>
      </c>
      <c r="F394" s="21" t="s">
        <v>1289</v>
      </c>
      <c r="G394" s="81" t="s">
        <v>1290</v>
      </c>
      <c r="H394" s="127" t="str">
        <f t="shared" si="72"/>
        <v>ALTA</v>
      </c>
      <c r="I394" s="111"/>
      <c r="J394" s="24" t="s">
        <v>10</v>
      </c>
      <c r="K394" s="24"/>
      <c r="L394" s="24" t="s">
        <v>87</v>
      </c>
      <c r="M394" s="24"/>
      <c r="N394" s="24"/>
      <c r="O394" s="25" t="s">
        <v>1197</v>
      </c>
      <c r="P394" s="112"/>
      <c r="Q394" s="24"/>
      <c r="R394" s="82">
        <f>Tabla1[[#This Row],[Origin Date ]]+3</f>
        <v>45927</v>
      </c>
      <c r="S394" s="2"/>
      <c r="T394" s="83" t="str">
        <f t="shared" si="69"/>
        <v>-</v>
      </c>
      <c r="U394" s="35" t="str">
        <f t="shared" ca="1" si="70"/>
        <v>Atrasada</v>
      </c>
      <c r="V394" s="24" t="str">
        <f t="shared" si="68"/>
        <v>Abierta</v>
      </c>
      <c r="W394" s="51">
        <v>0.2</v>
      </c>
      <c r="X394" s="54"/>
      <c r="Y394" s="102" t="s">
        <v>58</v>
      </c>
      <c r="Z394" s="36"/>
      <c r="AA394" s="36"/>
      <c r="AB394" s="52">
        <f>Tabla1[[#This Row],[Fecha de Entrega
End Date]]+$Z394</f>
        <v>0</v>
      </c>
      <c r="AC394" s="44"/>
      <c r="AD394" s="53"/>
      <c r="AE394" s="37"/>
    </row>
    <row r="395" spans="1:31" ht="50.1" customHeight="1" x14ac:dyDescent="0.3">
      <c r="A395" s="2">
        <v>45924</v>
      </c>
      <c r="B395" s="111">
        <f t="shared" si="71"/>
        <v>391</v>
      </c>
      <c r="C395" s="22" t="s">
        <v>1201</v>
      </c>
      <c r="D395" s="22" t="s">
        <v>1277</v>
      </c>
      <c r="E395" s="21" t="s">
        <v>1288</v>
      </c>
      <c r="F395" s="21" t="s">
        <v>1291</v>
      </c>
      <c r="G395" s="81" t="s">
        <v>1290</v>
      </c>
      <c r="H395" s="127" t="str">
        <f t="shared" si="72"/>
        <v>ALTA</v>
      </c>
      <c r="I395" s="111"/>
      <c r="J395" s="24" t="s">
        <v>10</v>
      </c>
      <c r="K395" s="24"/>
      <c r="L395" s="24" t="s">
        <v>87</v>
      </c>
      <c r="M395" s="24"/>
      <c r="N395" s="24"/>
      <c r="O395" s="25" t="s">
        <v>1197</v>
      </c>
      <c r="P395" s="112"/>
      <c r="Q395" s="24"/>
      <c r="R395" s="82">
        <f>Tabla1[[#This Row],[Origin Date ]]+3</f>
        <v>45927</v>
      </c>
      <c r="S395" s="2"/>
      <c r="T395" s="83" t="str">
        <f t="shared" si="69"/>
        <v>-</v>
      </c>
      <c r="U395" s="35" t="str">
        <f t="shared" ca="1" si="70"/>
        <v>Atrasada</v>
      </c>
      <c r="V395" s="24" t="str">
        <f t="shared" si="68"/>
        <v>Abierta</v>
      </c>
      <c r="W395" s="51">
        <v>0.2</v>
      </c>
      <c r="X395" s="54"/>
      <c r="Y395" s="102" t="s">
        <v>58</v>
      </c>
      <c r="Z395" s="36"/>
      <c r="AA395" s="36"/>
      <c r="AB395" s="52">
        <f>Tabla1[[#This Row],[Fecha de Entrega
End Date]]+$Z395</f>
        <v>0</v>
      </c>
      <c r="AC395" s="44"/>
      <c r="AD395" s="53"/>
      <c r="AE395" s="37"/>
    </row>
    <row r="396" spans="1:31" ht="50.1" customHeight="1" x14ac:dyDescent="0.3">
      <c r="A396" s="2">
        <v>45925</v>
      </c>
      <c r="B396" s="111">
        <f t="shared" si="71"/>
        <v>392</v>
      </c>
      <c r="C396" s="22" t="s">
        <v>1201</v>
      </c>
      <c r="D396" s="22" t="s">
        <v>1277</v>
      </c>
      <c r="E396" s="21" t="s">
        <v>1292</v>
      </c>
      <c r="F396" s="21" t="s">
        <v>1293</v>
      </c>
      <c r="G396" s="81" t="s">
        <v>1294</v>
      </c>
      <c r="H396" s="127" t="str">
        <f t="shared" si="72"/>
        <v>ALTA</v>
      </c>
      <c r="I396" s="111"/>
      <c r="J396" s="24" t="s">
        <v>10</v>
      </c>
      <c r="K396" s="24"/>
      <c r="L396" s="24" t="s">
        <v>87</v>
      </c>
      <c r="M396" s="24"/>
      <c r="N396" s="24"/>
      <c r="O396" s="25" t="s">
        <v>1197</v>
      </c>
      <c r="P396" s="112"/>
      <c r="Q396" s="24"/>
      <c r="R396" s="82">
        <f>Tabla1[[#This Row],[Origin Date ]]+3</f>
        <v>45928</v>
      </c>
      <c r="S396" s="2"/>
      <c r="T396" s="83" t="str">
        <f t="shared" si="69"/>
        <v>-</v>
      </c>
      <c r="U396" s="35" t="str">
        <f t="shared" ca="1" si="70"/>
        <v>Atrasada</v>
      </c>
      <c r="V396" s="24" t="str">
        <f t="shared" si="68"/>
        <v>Abierta</v>
      </c>
      <c r="W396" s="51">
        <v>0.2</v>
      </c>
      <c r="X396" s="54"/>
      <c r="Y396" s="102" t="s">
        <v>58</v>
      </c>
      <c r="Z396" s="36"/>
      <c r="AA396" s="36"/>
      <c r="AB396" s="52">
        <f>Tabla1[[#This Row],[Fecha de Entrega
End Date]]+$Z396</f>
        <v>0</v>
      </c>
      <c r="AC396" s="44"/>
      <c r="AD396" s="53"/>
      <c r="AE396" s="37"/>
    </row>
    <row r="397" spans="1:31" ht="50.1" customHeight="1" x14ac:dyDescent="0.3">
      <c r="A397" s="2">
        <v>45925</v>
      </c>
      <c r="B397" s="111">
        <f t="shared" si="71"/>
        <v>393</v>
      </c>
      <c r="C397" s="22" t="s">
        <v>1201</v>
      </c>
      <c r="D397" s="22" t="s">
        <v>1216</v>
      </c>
      <c r="E397" s="21" t="s">
        <v>1295</v>
      </c>
      <c r="F397" s="21" t="s">
        <v>1296</v>
      </c>
      <c r="G397" s="81" t="s">
        <v>1297</v>
      </c>
      <c r="H397" s="127" t="str">
        <f t="shared" si="72"/>
        <v>ALTA</v>
      </c>
      <c r="I397" s="111"/>
      <c r="J397" s="24" t="s">
        <v>10</v>
      </c>
      <c r="K397" s="24"/>
      <c r="L397" s="24" t="s">
        <v>87</v>
      </c>
      <c r="M397" s="24"/>
      <c r="N397" s="24"/>
      <c r="O397" s="25" t="s">
        <v>1197</v>
      </c>
      <c r="P397" s="112"/>
      <c r="Q397" s="24"/>
      <c r="R397" s="82">
        <f>Tabla1[[#This Row],[Origin Date ]]+3</f>
        <v>45928</v>
      </c>
      <c r="S397" s="2"/>
      <c r="T397" s="83" t="str">
        <f t="shared" si="69"/>
        <v>-</v>
      </c>
      <c r="U397" s="35" t="str">
        <f t="shared" ca="1" si="70"/>
        <v>Atrasada</v>
      </c>
      <c r="V397" s="24" t="str">
        <f t="shared" si="68"/>
        <v>Abierta</v>
      </c>
      <c r="W397" s="51">
        <v>0.2</v>
      </c>
      <c r="X397" s="54"/>
      <c r="Y397" s="102" t="s">
        <v>58</v>
      </c>
      <c r="Z397" s="36"/>
      <c r="AA397" s="36"/>
      <c r="AB397" s="52">
        <f>Tabla1[[#This Row],[Fecha de Entrega
End Date]]+$Z397</f>
        <v>0</v>
      </c>
      <c r="AC397" s="44"/>
      <c r="AD397" s="53"/>
      <c r="AE397" s="37"/>
    </row>
    <row r="398" spans="1:31" ht="50.1" customHeight="1" x14ac:dyDescent="0.3">
      <c r="A398" s="2">
        <v>45925</v>
      </c>
      <c r="B398" s="111">
        <f t="shared" si="71"/>
        <v>394</v>
      </c>
      <c r="C398" s="22" t="s">
        <v>1201</v>
      </c>
      <c r="D398" s="22" t="s">
        <v>1216</v>
      </c>
      <c r="E398" s="21" t="s">
        <v>1295</v>
      </c>
      <c r="F398" s="21" t="s">
        <v>1298</v>
      </c>
      <c r="G398" s="22" t="s">
        <v>1299</v>
      </c>
      <c r="H398" s="127" t="str">
        <f t="shared" si="72"/>
        <v>ALTA</v>
      </c>
      <c r="I398" s="111"/>
      <c r="J398" s="24" t="s">
        <v>10</v>
      </c>
      <c r="K398" s="24"/>
      <c r="L398" s="24" t="s">
        <v>87</v>
      </c>
      <c r="M398" s="24"/>
      <c r="N398" s="24"/>
      <c r="O398" s="25" t="s">
        <v>1197</v>
      </c>
      <c r="P398" s="112"/>
      <c r="Q398" s="24"/>
      <c r="R398" s="82">
        <f>Tabla1[[#This Row],[Origin Date ]]+3</f>
        <v>45928</v>
      </c>
      <c r="S398" s="2"/>
      <c r="T398" s="83" t="str">
        <f t="shared" ref="T398:T409" si="73">IF((R398=""),"",IF((V398="Cerrada"),(S398-R398),IF((($AA$2-R398)&lt;=0),"-",($AA$2-R398))))</f>
        <v>-</v>
      </c>
      <c r="U398" s="35" t="str">
        <f t="shared" ref="U398:U409" ca="1" si="74">IF((R398=""),"",IF((V398="Cerrada"),"Realizada a Tiempo",IF(OR((($AB$2-R398)=0),(($AB$2-R398)=-1),(($AB$2-R398)=-2),(($AB$2-R398)=-3)),"Tiempo Límite",IF((T398="&gt;9"),"En Proceso","Atrasada"))))</f>
        <v>Atrasada</v>
      </c>
      <c r="V398" s="24" t="str">
        <f t="shared" si="68"/>
        <v>Abierta</v>
      </c>
      <c r="W398" s="51">
        <v>0.2</v>
      </c>
      <c r="X398" s="54"/>
      <c r="Y398" s="102" t="s">
        <v>58</v>
      </c>
      <c r="Z398" s="36"/>
      <c r="AA398" s="36"/>
      <c r="AB398" s="52">
        <f>Tabla1[[#This Row],[Fecha de Entrega
End Date]]+$Z398</f>
        <v>0</v>
      </c>
      <c r="AC398" s="44"/>
      <c r="AD398" s="53"/>
      <c r="AE398" s="37"/>
    </row>
    <row r="399" spans="1:31" ht="50.1" customHeight="1" x14ac:dyDescent="0.3">
      <c r="A399" s="2">
        <v>45926</v>
      </c>
      <c r="B399" s="111">
        <f t="shared" si="71"/>
        <v>395</v>
      </c>
      <c r="C399" s="22" t="s">
        <v>1201</v>
      </c>
      <c r="D399" s="22" t="s">
        <v>1216</v>
      </c>
      <c r="E399" s="21" t="s">
        <v>1300</v>
      </c>
      <c r="F399" s="21" t="s">
        <v>1301</v>
      </c>
      <c r="G399" s="22" t="s">
        <v>1299</v>
      </c>
      <c r="H399" s="127" t="str">
        <f t="shared" si="72"/>
        <v>ALTA</v>
      </c>
      <c r="I399" s="111"/>
      <c r="J399" s="24" t="s">
        <v>10</v>
      </c>
      <c r="K399" s="24"/>
      <c r="L399" s="24" t="s">
        <v>87</v>
      </c>
      <c r="M399" s="24"/>
      <c r="N399" s="24"/>
      <c r="O399" s="25" t="s">
        <v>1197</v>
      </c>
      <c r="P399" s="112"/>
      <c r="Q399" s="24"/>
      <c r="R399" s="82">
        <f>Tabla1[[#This Row],[Origin Date ]]+3</f>
        <v>45929</v>
      </c>
      <c r="S399" s="2"/>
      <c r="T399" s="83" t="str">
        <f t="shared" si="73"/>
        <v>-</v>
      </c>
      <c r="U399" s="35" t="str">
        <f t="shared" ca="1" si="74"/>
        <v>Atrasada</v>
      </c>
      <c r="V399" s="24" t="str">
        <f t="shared" si="68"/>
        <v>Abierta</v>
      </c>
      <c r="W399" s="51">
        <v>0.2</v>
      </c>
      <c r="X399" s="54"/>
      <c r="Y399" s="102" t="s">
        <v>58</v>
      </c>
      <c r="Z399" s="36"/>
      <c r="AA399" s="36"/>
      <c r="AB399" s="52">
        <f>Tabla1[[#This Row],[Fecha de Entrega
End Date]]+$Z399</f>
        <v>0</v>
      </c>
      <c r="AC399" s="44"/>
      <c r="AD399" s="53"/>
      <c r="AE399" s="37"/>
    </row>
    <row r="400" spans="1:31" ht="50.1" customHeight="1" x14ac:dyDescent="0.3">
      <c r="A400" s="2">
        <v>45926</v>
      </c>
      <c r="B400" s="111">
        <f t="shared" si="71"/>
        <v>396</v>
      </c>
      <c r="C400" s="22" t="s">
        <v>1201</v>
      </c>
      <c r="D400" s="22" t="s">
        <v>1216</v>
      </c>
      <c r="E400" s="21" t="s">
        <v>1302</v>
      </c>
      <c r="F400" s="21" t="s">
        <v>1303</v>
      </c>
      <c r="G400" s="81" t="s">
        <v>1297</v>
      </c>
      <c r="H400" s="127" t="str">
        <f t="shared" si="72"/>
        <v>ALTA</v>
      </c>
      <c r="I400" s="111"/>
      <c r="J400" s="101"/>
      <c r="K400" s="24"/>
      <c r="L400" s="24"/>
      <c r="M400" s="24"/>
      <c r="N400" s="24"/>
      <c r="O400" s="25" t="s">
        <v>1197</v>
      </c>
      <c r="P400" s="112"/>
      <c r="Q400" s="24"/>
      <c r="R400" s="82">
        <f>Tabla1[[#This Row],[Origin Date ]]+3</f>
        <v>45929</v>
      </c>
      <c r="S400" s="189"/>
      <c r="T400" s="83" t="str">
        <f t="shared" si="73"/>
        <v>-</v>
      </c>
      <c r="U400" s="35" t="str">
        <f t="shared" ca="1" si="74"/>
        <v>Atrasada</v>
      </c>
      <c r="V400" s="24" t="str">
        <f t="shared" si="68"/>
        <v>Abierta</v>
      </c>
      <c r="W400" s="51">
        <v>0.2</v>
      </c>
      <c r="X400" s="54"/>
      <c r="Y400" s="102" t="s">
        <v>58</v>
      </c>
      <c r="Z400" s="36"/>
      <c r="AA400" s="36"/>
      <c r="AB400" s="52">
        <f>Tabla1[[#This Row],[Fecha de Entrega
End Date]]+$Z400</f>
        <v>0</v>
      </c>
      <c r="AC400" s="44"/>
      <c r="AD400" s="53"/>
      <c r="AE400" s="37"/>
    </row>
    <row r="401" spans="1:31" ht="50.1" customHeight="1" x14ac:dyDescent="0.3">
      <c r="A401" s="2">
        <v>45926</v>
      </c>
      <c r="B401" s="111">
        <f t="shared" si="71"/>
        <v>397</v>
      </c>
      <c r="C401" s="22" t="s">
        <v>1201</v>
      </c>
      <c r="D401" s="22" t="s">
        <v>1208</v>
      </c>
      <c r="E401" s="21" t="s">
        <v>1304</v>
      </c>
      <c r="F401" s="21" t="s">
        <v>1305</v>
      </c>
      <c r="G401" s="22" t="s">
        <v>1226</v>
      </c>
      <c r="H401" s="127" t="str">
        <f t="shared" si="72"/>
        <v>ALTA</v>
      </c>
      <c r="I401" s="111"/>
      <c r="J401" s="101"/>
      <c r="K401" s="24"/>
      <c r="L401" s="24"/>
      <c r="M401" s="24"/>
      <c r="N401" s="24"/>
      <c r="O401" s="25" t="s">
        <v>1197</v>
      </c>
      <c r="P401" s="112"/>
      <c r="Q401" s="24"/>
      <c r="R401" s="82">
        <f>Tabla1[[#This Row],[Origin Date ]]+3</f>
        <v>45929</v>
      </c>
      <c r="S401" s="189"/>
      <c r="T401" s="83" t="str">
        <f t="shared" si="73"/>
        <v>-</v>
      </c>
      <c r="U401" s="35" t="str">
        <f t="shared" ca="1" si="74"/>
        <v>Atrasada</v>
      </c>
      <c r="V401" s="24" t="str">
        <f t="shared" si="68"/>
        <v>Abierta</v>
      </c>
      <c r="W401" s="51">
        <v>0.2</v>
      </c>
      <c r="X401" s="54"/>
      <c r="Y401" s="102" t="s">
        <v>58</v>
      </c>
      <c r="Z401" s="36"/>
      <c r="AA401" s="36"/>
      <c r="AB401" s="52">
        <f>Tabla1[[#This Row],[Fecha de Entrega
End Date]]+$Z401</f>
        <v>0</v>
      </c>
      <c r="AC401" s="44"/>
      <c r="AD401" s="53"/>
      <c r="AE401" s="37"/>
    </row>
    <row r="402" spans="1:31" ht="50.1" customHeight="1" x14ac:dyDescent="0.3">
      <c r="A402" s="2">
        <v>45926</v>
      </c>
      <c r="B402" s="111">
        <f t="shared" si="71"/>
        <v>398</v>
      </c>
      <c r="C402" s="22" t="s">
        <v>1201</v>
      </c>
      <c r="D402" s="22" t="s">
        <v>1208</v>
      </c>
      <c r="E402" s="21" t="s">
        <v>1304</v>
      </c>
      <c r="F402" s="21" t="s">
        <v>1306</v>
      </c>
      <c r="G402" s="81" t="s">
        <v>1226</v>
      </c>
      <c r="H402" s="127" t="str">
        <f t="shared" si="72"/>
        <v>ALTA</v>
      </c>
      <c r="I402" s="111"/>
      <c r="J402" s="101"/>
      <c r="K402" s="24"/>
      <c r="L402" s="24"/>
      <c r="M402" s="24"/>
      <c r="N402" s="24"/>
      <c r="O402" s="25" t="s">
        <v>1197</v>
      </c>
      <c r="P402" s="112"/>
      <c r="Q402" s="24"/>
      <c r="R402" s="82">
        <f>Tabla1[[#This Row],[Origin Date ]]+3</f>
        <v>45929</v>
      </c>
      <c r="S402" s="189"/>
      <c r="T402" s="83" t="str">
        <f t="shared" si="73"/>
        <v>-</v>
      </c>
      <c r="U402" s="35" t="str">
        <f t="shared" ca="1" si="74"/>
        <v>Atrasada</v>
      </c>
      <c r="V402" s="24" t="str">
        <f t="shared" si="68"/>
        <v>Abierta</v>
      </c>
      <c r="W402" s="51">
        <v>0.2</v>
      </c>
      <c r="X402" s="54"/>
      <c r="Y402" s="102" t="s">
        <v>58</v>
      </c>
      <c r="Z402" s="36"/>
      <c r="AA402" s="36"/>
      <c r="AB402" s="52">
        <f>Tabla1[[#This Row],[Fecha de Entrega
End Date]]+$Z402</f>
        <v>0</v>
      </c>
      <c r="AC402" s="44"/>
      <c r="AD402" s="53"/>
      <c r="AE402" s="37"/>
    </row>
    <row r="403" spans="1:31" ht="50.1" customHeight="1" x14ac:dyDescent="0.3">
      <c r="A403" s="2">
        <v>45927</v>
      </c>
      <c r="B403" s="111">
        <f t="shared" si="71"/>
        <v>399</v>
      </c>
      <c r="C403" s="22" t="s">
        <v>1201</v>
      </c>
      <c r="D403" s="22" t="s">
        <v>1208</v>
      </c>
      <c r="E403" s="21" t="s">
        <v>1307</v>
      </c>
      <c r="F403" s="21" t="s">
        <v>1308</v>
      </c>
      <c r="G403" s="81" t="s">
        <v>1226</v>
      </c>
      <c r="H403" s="127" t="str">
        <f t="shared" si="72"/>
        <v>ALTA</v>
      </c>
      <c r="I403" s="111"/>
      <c r="J403" s="101"/>
      <c r="K403" s="24"/>
      <c r="L403" s="24"/>
      <c r="M403" s="24"/>
      <c r="N403" s="24"/>
      <c r="O403" s="25" t="s">
        <v>1197</v>
      </c>
      <c r="P403" s="112"/>
      <c r="Q403" s="24"/>
      <c r="R403" s="82">
        <f>Tabla1[[#This Row],[Origin Date ]]+3</f>
        <v>45930</v>
      </c>
      <c r="S403" s="189"/>
      <c r="T403" s="83" t="str">
        <f t="shared" si="73"/>
        <v>-</v>
      </c>
      <c r="U403" s="35" t="str">
        <f t="shared" ca="1" si="74"/>
        <v>Atrasada</v>
      </c>
      <c r="V403" s="24" t="str">
        <f t="shared" si="68"/>
        <v>Abierta</v>
      </c>
      <c r="W403" s="51">
        <v>0.2</v>
      </c>
      <c r="X403" s="54"/>
      <c r="Y403" s="102" t="s">
        <v>58</v>
      </c>
      <c r="Z403" s="36"/>
      <c r="AA403" s="36"/>
      <c r="AB403" s="52">
        <f>Tabla1[[#This Row],[Fecha de Entrega
End Date]]+$Z403</f>
        <v>0</v>
      </c>
      <c r="AC403" s="44"/>
      <c r="AD403" s="53"/>
      <c r="AE403" s="37"/>
    </row>
    <row r="404" spans="1:31" ht="50.1" customHeight="1" x14ac:dyDescent="0.3">
      <c r="A404" s="2">
        <v>45982</v>
      </c>
      <c r="B404" s="111">
        <f t="shared" si="71"/>
        <v>400</v>
      </c>
      <c r="C404" s="22" t="s">
        <v>1147</v>
      </c>
      <c r="D404" s="22" t="s">
        <v>1196</v>
      </c>
      <c r="E404" s="21" t="s">
        <v>1311</v>
      </c>
      <c r="F404" s="21" t="s">
        <v>1312</v>
      </c>
      <c r="G404" s="81" t="s">
        <v>1313</v>
      </c>
      <c r="H404" s="127" t="str">
        <f t="shared" si="72"/>
        <v>ALTA</v>
      </c>
      <c r="I404" s="111" t="s">
        <v>21</v>
      </c>
      <c r="J404" s="101" t="s">
        <v>16</v>
      </c>
      <c r="K404" s="24" t="s">
        <v>114</v>
      </c>
      <c r="L404" s="24" t="s">
        <v>77</v>
      </c>
      <c r="M404" s="24" t="s">
        <v>86</v>
      </c>
      <c r="N404" s="24" t="s">
        <v>209</v>
      </c>
      <c r="O404" s="25" t="s">
        <v>1197</v>
      </c>
      <c r="P404" s="112" t="s">
        <v>1314</v>
      </c>
      <c r="Q404" s="24" t="s">
        <v>228</v>
      </c>
      <c r="R404" s="82">
        <f>Tabla1[[#This Row],[Origin Date ]]+3</f>
        <v>45985</v>
      </c>
      <c r="S404" s="189"/>
      <c r="T404" s="83" t="str">
        <f t="shared" si="73"/>
        <v>-</v>
      </c>
      <c r="U404" s="35" t="str">
        <f t="shared" ca="1" si="74"/>
        <v>Atrasada</v>
      </c>
      <c r="V404" s="24" t="str">
        <f t="shared" si="68"/>
        <v>Abierta</v>
      </c>
      <c r="W404" s="51">
        <v>0.8</v>
      </c>
      <c r="X404" s="54" t="s">
        <v>1315</v>
      </c>
      <c r="Y404" s="102" t="s">
        <v>66</v>
      </c>
      <c r="Z404" s="36">
        <v>30</v>
      </c>
      <c r="AA404" s="36" t="s">
        <v>52</v>
      </c>
      <c r="AB404" s="52">
        <f>Tabla1[[#This Row],[Fecha de Entrega
End Date]]+$Z404</f>
        <v>30</v>
      </c>
      <c r="AC404" s="44"/>
      <c r="AD404" s="53" t="s">
        <v>384</v>
      </c>
      <c r="AE404" s="37"/>
    </row>
    <row r="405" spans="1:31" ht="50.1" customHeight="1" x14ac:dyDescent="0.2">
      <c r="A405" s="191">
        <v>45982</v>
      </c>
      <c r="B405" s="111">
        <f t="shared" si="71"/>
        <v>401</v>
      </c>
      <c r="C405" s="22" t="s">
        <v>1145</v>
      </c>
      <c r="D405" s="22"/>
      <c r="E405" s="21"/>
      <c r="F405" s="21"/>
      <c r="G405" s="81"/>
      <c r="H405" s="127" t="str">
        <f t="shared" si="72"/>
        <v>ALTA</v>
      </c>
      <c r="I405" s="111"/>
      <c r="J405" s="101"/>
      <c r="K405" s="24"/>
      <c r="L405" s="24"/>
      <c r="M405" s="24"/>
      <c r="N405" s="24"/>
      <c r="O405" s="25"/>
      <c r="P405" s="112"/>
      <c r="Q405" s="24"/>
      <c r="R405" s="82">
        <f>Tabla1[[#This Row],[Origin Date ]]+3</f>
        <v>45985</v>
      </c>
      <c r="S405" s="189"/>
      <c r="T405" s="83" t="str">
        <f t="shared" si="73"/>
        <v>-</v>
      </c>
      <c r="U405" s="35" t="str">
        <f t="shared" ca="1" si="74"/>
        <v>Atrasada</v>
      </c>
      <c r="V405" s="24" t="str">
        <f t="shared" si="68"/>
        <v>Abierta</v>
      </c>
      <c r="W405" s="51">
        <v>0.2</v>
      </c>
      <c r="X405" s="54"/>
      <c r="Y405" s="102" t="s">
        <v>58</v>
      </c>
      <c r="Z405" s="36"/>
      <c r="AA405" s="36"/>
      <c r="AB405" s="52">
        <f>Tabla1[[#This Row],[Fecha de Entrega
End Date]]+$Z405</f>
        <v>0</v>
      </c>
      <c r="AC405" s="44"/>
      <c r="AD405" s="53"/>
      <c r="AE405" s="37"/>
    </row>
    <row r="406" spans="1:31" ht="50.1" customHeight="1" x14ac:dyDescent="0.2">
      <c r="A406" s="191"/>
      <c r="B406" s="111" t="str">
        <f t="shared" si="71"/>
        <v/>
      </c>
      <c r="C406" s="22"/>
      <c r="D406" s="22"/>
      <c r="E406" s="21"/>
      <c r="F406" s="21"/>
      <c r="G406" s="81"/>
      <c r="H406" s="127" t="str">
        <f t="shared" si="72"/>
        <v/>
      </c>
      <c r="I406" s="111"/>
      <c r="J406" s="101"/>
      <c r="K406" s="24"/>
      <c r="L406" s="24"/>
      <c r="M406" s="24"/>
      <c r="N406" s="24"/>
      <c r="O406" s="25"/>
      <c r="P406" s="112"/>
      <c r="Q406" s="24"/>
      <c r="R406" s="82">
        <f>Tabla1[[#This Row],[Origin Date ]]+3</f>
        <v>3</v>
      </c>
      <c r="S406" s="189"/>
      <c r="T406" s="83">
        <f t="shared" si="73"/>
        <v>45409</v>
      </c>
      <c r="U406" s="35" t="str">
        <f t="shared" ca="1" si="74"/>
        <v>Atrasada</v>
      </c>
      <c r="V406" s="24" t="str">
        <f t="shared" si="68"/>
        <v>Abierta</v>
      </c>
      <c r="W406" s="51">
        <v>0.2</v>
      </c>
      <c r="X406" s="54"/>
      <c r="Y406" s="102" t="s">
        <v>58</v>
      </c>
      <c r="Z406" s="36"/>
      <c r="AA406" s="36"/>
      <c r="AB406" s="52">
        <f>Tabla1[[#This Row],[Fecha de Entrega
End Date]]+$Z406</f>
        <v>0</v>
      </c>
      <c r="AC406" s="44"/>
      <c r="AD406" s="53"/>
      <c r="AE406" s="37"/>
    </row>
    <row r="407" spans="1:31" ht="50.1" customHeight="1" x14ac:dyDescent="0.2">
      <c r="A407" s="191"/>
      <c r="B407" s="111" t="str">
        <f t="shared" si="71"/>
        <v/>
      </c>
      <c r="C407" s="22"/>
      <c r="D407" s="22"/>
      <c r="E407" s="21"/>
      <c r="F407" s="21"/>
      <c r="G407" s="81"/>
      <c r="H407" s="127" t="str">
        <f t="shared" si="72"/>
        <v/>
      </c>
      <c r="I407" s="111"/>
      <c r="J407" s="101"/>
      <c r="K407" s="24"/>
      <c r="L407" s="24"/>
      <c r="M407" s="24"/>
      <c r="N407" s="24"/>
      <c r="O407" s="25"/>
      <c r="P407" s="112"/>
      <c r="Q407" s="24"/>
      <c r="R407" s="82">
        <f>Tabla1[[#This Row],[Origin Date ]]+3</f>
        <v>3</v>
      </c>
      <c r="S407" s="189"/>
      <c r="T407" s="83">
        <f t="shared" si="73"/>
        <v>45409</v>
      </c>
      <c r="U407" s="35" t="str">
        <f t="shared" ca="1" si="74"/>
        <v>Atrasada</v>
      </c>
      <c r="V407" s="24" t="str">
        <f t="shared" si="68"/>
        <v>Abierta</v>
      </c>
      <c r="W407" s="51">
        <v>0.2</v>
      </c>
      <c r="X407" s="54"/>
      <c r="Y407" s="102" t="s">
        <v>58</v>
      </c>
      <c r="Z407" s="36"/>
      <c r="AA407" s="36"/>
      <c r="AB407" s="52">
        <f>Tabla1[[#This Row],[Fecha de Entrega
End Date]]+$Z407</f>
        <v>0</v>
      </c>
      <c r="AC407" s="44"/>
      <c r="AD407" s="53"/>
      <c r="AE407" s="37"/>
    </row>
    <row r="408" spans="1:31" ht="50.1" customHeight="1" x14ac:dyDescent="0.2">
      <c r="A408" s="191"/>
      <c r="B408" s="111" t="str">
        <f t="shared" si="71"/>
        <v/>
      </c>
      <c r="C408" s="22"/>
      <c r="D408" s="22"/>
      <c r="E408" s="21"/>
      <c r="F408" s="21"/>
      <c r="G408" s="81"/>
      <c r="H408" s="127" t="str">
        <f t="shared" si="72"/>
        <v/>
      </c>
      <c r="I408" s="111"/>
      <c r="J408" s="101"/>
      <c r="K408" s="24"/>
      <c r="L408" s="24"/>
      <c r="M408" s="24"/>
      <c r="N408" s="24"/>
      <c r="O408" s="25"/>
      <c r="P408" s="112"/>
      <c r="Q408" s="24"/>
      <c r="R408" s="82">
        <f>Tabla1[[#This Row],[Origin Date ]]+3</f>
        <v>3</v>
      </c>
      <c r="S408" s="189"/>
      <c r="T408" s="83">
        <f t="shared" si="73"/>
        <v>45409</v>
      </c>
      <c r="U408" s="35" t="str">
        <f t="shared" ca="1" si="74"/>
        <v>Atrasada</v>
      </c>
      <c r="V408" s="24" t="str">
        <f t="shared" si="68"/>
        <v>Abierta</v>
      </c>
      <c r="W408" s="51">
        <v>0.2</v>
      </c>
      <c r="X408" s="54"/>
      <c r="Y408" s="102" t="s">
        <v>58</v>
      </c>
      <c r="Z408" s="36"/>
      <c r="AA408" s="36"/>
      <c r="AB408" s="52">
        <f>Tabla1[[#This Row],[Fecha de Entrega
End Date]]+$Z408</f>
        <v>0</v>
      </c>
      <c r="AC408" s="44">
        <f>Tabla1[[#This Row],[Fecha de Entrega
End Date]]+$Z408</f>
        <v>0</v>
      </c>
      <c r="AD408" s="53"/>
      <c r="AE408" s="37"/>
    </row>
    <row r="409" spans="1:31" ht="50.1" customHeight="1" x14ac:dyDescent="0.2">
      <c r="A409" s="191"/>
      <c r="B409" s="111" t="str">
        <f t="shared" si="71"/>
        <v/>
      </c>
      <c r="C409" s="22"/>
      <c r="D409" s="22"/>
      <c r="E409" s="21"/>
      <c r="F409" s="21"/>
      <c r="G409" s="81"/>
      <c r="H409" s="127" t="str">
        <f t="shared" si="72"/>
        <v/>
      </c>
      <c r="I409" s="111"/>
      <c r="J409" s="101"/>
      <c r="K409" s="24"/>
      <c r="L409" s="24"/>
      <c r="M409" s="24"/>
      <c r="N409" s="24"/>
      <c r="O409" s="188"/>
      <c r="P409" s="112"/>
      <c r="Q409" s="24"/>
      <c r="R409" s="82">
        <f>Tabla1[[#This Row],[Origin Date ]]+3</f>
        <v>3</v>
      </c>
      <c r="S409" s="189"/>
      <c r="T409" s="83">
        <f t="shared" si="73"/>
        <v>45409</v>
      </c>
      <c r="U409" s="35" t="str">
        <f t="shared" ca="1" si="74"/>
        <v>Atrasada</v>
      </c>
      <c r="V409" s="24" t="str">
        <f t="shared" si="68"/>
        <v>Abierta</v>
      </c>
      <c r="W409" s="51">
        <v>0.2</v>
      </c>
      <c r="X409" s="54"/>
      <c r="Y409" s="102" t="s">
        <v>58</v>
      </c>
      <c r="Z409" s="36"/>
      <c r="AA409" s="36"/>
      <c r="AB409" s="190">
        <f>Tabla1[[#This Row],[Fecha de Entrega
End Date]]+$Z409</f>
        <v>0</v>
      </c>
      <c r="AC409" s="44">
        <f>Tabla1[[#This Row],[Fecha de Entrega
End Date]]+$Z409</f>
        <v>0</v>
      </c>
      <c r="AD409" s="53"/>
      <c r="AE409" s="37"/>
    </row>
    <row r="410" spans="1:31" ht="50.1" customHeight="1" x14ac:dyDescent="0.3">
      <c r="A410" s="2"/>
      <c r="B410" s="43"/>
      <c r="C410" s="56"/>
      <c r="D410" s="56"/>
      <c r="E410" s="55"/>
      <c r="F410" s="55"/>
      <c r="G410" s="56"/>
      <c r="H410" s="129"/>
      <c r="I410" s="43"/>
      <c r="J410" s="43"/>
      <c r="K410" s="43"/>
      <c r="L410" s="43"/>
      <c r="M410" s="43"/>
      <c r="N410" s="24"/>
      <c r="O410" s="25"/>
      <c r="P410" s="112"/>
      <c r="Q410" s="43"/>
      <c r="R410" s="57"/>
      <c r="S410" s="19"/>
      <c r="T410" s="19"/>
      <c r="U410" s="58"/>
      <c r="V410" s="59" t="str">
        <f t="shared" ref="V410:V426" si="75">IF((T410=""),"",IF((X410="Cerrada"),(U410-T410),IF((($AB$2-T410)&lt;=0),"-",($AB$2-T410))))</f>
        <v/>
      </c>
      <c r="W410" s="51" t="str">
        <f t="shared" ref="W410:W440" si="76">IF((T410=""),"",IF((X410="Cerrada"),"Realizada",IF(OR((($AB$2-T410)=0),(($AB$2-T410)=-1),(($AB$2-T410)=-2),(($AB$2-T410)=-3)),"Tiempo Límite",IF((V410="-"),"En Proceso","Atrasada"))))</f>
        <v/>
      </c>
      <c r="X410" s="108"/>
      <c r="Y410" s="60"/>
      <c r="Z410" s="60"/>
      <c r="AA410" s="59"/>
      <c r="AB410" s="52"/>
      <c r="AC410" s="59"/>
      <c r="AD410" s="59"/>
      <c r="AE410" s="62"/>
    </row>
    <row r="411" spans="1:31" ht="50.1" customHeight="1" x14ac:dyDescent="0.25">
      <c r="A411" s="18"/>
      <c r="B411" s="43"/>
      <c r="C411" s="56"/>
      <c r="D411" s="56"/>
      <c r="E411" s="55"/>
      <c r="F411" s="55"/>
      <c r="G411" s="56"/>
      <c r="H411" s="129"/>
      <c r="I411" s="43"/>
      <c r="J411" s="43"/>
      <c r="K411" s="43"/>
      <c r="L411" s="43"/>
      <c r="M411" s="43"/>
      <c r="O411" s="43"/>
      <c r="P411" s="57"/>
      <c r="Q411" s="43"/>
      <c r="R411" s="57"/>
      <c r="S411" s="19"/>
      <c r="T411" s="19"/>
      <c r="U411" s="58"/>
      <c r="V411" s="59" t="str">
        <f t="shared" si="75"/>
        <v/>
      </c>
      <c r="W411" s="60" t="str">
        <f t="shared" si="76"/>
        <v/>
      </c>
      <c r="X411" s="108"/>
      <c r="Y411" s="60"/>
      <c r="Z411" s="60"/>
      <c r="AA411" s="59"/>
      <c r="AB411" s="61"/>
      <c r="AC411" s="59"/>
      <c r="AD411" s="59"/>
      <c r="AE411" s="62"/>
    </row>
    <row r="412" spans="1:31" ht="50.1" customHeight="1" x14ac:dyDescent="0.25">
      <c r="A412" s="18"/>
      <c r="B412" s="43"/>
      <c r="C412" s="56"/>
      <c r="D412" s="56"/>
      <c r="E412" s="55"/>
      <c r="F412" s="55"/>
      <c r="G412" s="56"/>
      <c r="H412" s="129"/>
      <c r="I412" s="43"/>
      <c r="J412" s="43"/>
      <c r="K412" s="43"/>
      <c r="L412" s="43"/>
      <c r="M412" s="43"/>
      <c r="O412" s="43"/>
      <c r="P412" s="57"/>
      <c r="Q412" s="43"/>
      <c r="R412" s="57"/>
      <c r="S412" s="19"/>
      <c r="T412" s="19"/>
      <c r="U412" s="58"/>
      <c r="V412" s="59" t="str">
        <f t="shared" si="75"/>
        <v/>
      </c>
      <c r="W412" s="60" t="str">
        <f t="shared" si="76"/>
        <v/>
      </c>
      <c r="X412" s="108"/>
      <c r="Y412" s="60"/>
      <c r="Z412" s="60"/>
      <c r="AA412" s="59"/>
      <c r="AB412" s="61"/>
      <c r="AC412" s="59"/>
      <c r="AD412" s="59"/>
      <c r="AE412" s="62"/>
    </row>
    <row r="413" spans="1:31" ht="50.1" customHeight="1" x14ac:dyDescent="0.25">
      <c r="A413" s="18"/>
      <c r="B413" s="43"/>
      <c r="C413" s="56"/>
      <c r="D413" s="56"/>
      <c r="E413" s="55"/>
      <c r="F413" s="55"/>
      <c r="G413" s="56"/>
      <c r="H413" s="129"/>
      <c r="I413" s="43"/>
      <c r="J413" s="43"/>
      <c r="K413" s="43"/>
      <c r="L413" s="43"/>
      <c r="M413" s="43"/>
      <c r="O413" s="43"/>
      <c r="P413" s="57"/>
      <c r="Q413" s="43"/>
      <c r="R413" s="57"/>
      <c r="S413" s="19"/>
      <c r="T413" s="19"/>
      <c r="U413" s="58"/>
      <c r="V413" s="59" t="str">
        <f t="shared" si="75"/>
        <v/>
      </c>
      <c r="W413" s="60" t="str">
        <f t="shared" si="76"/>
        <v/>
      </c>
      <c r="X413" s="108"/>
      <c r="Y413" s="60"/>
      <c r="Z413" s="60"/>
      <c r="AA413" s="59"/>
      <c r="AB413" s="61"/>
      <c r="AC413" s="59"/>
      <c r="AD413" s="59"/>
      <c r="AE413" s="62"/>
    </row>
    <row r="414" spans="1:31" ht="50.1" customHeight="1" x14ac:dyDescent="0.25">
      <c r="A414" s="18"/>
      <c r="B414" s="43"/>
      <c r="C414" s="56"/>
      <c r="D414" s="56"/>
      <c r="E414" s="55"/>
      <c r="F414" s="55"/>
      <c r="G414" s="56"/>
      <c r="H414" s="129"/>
      <c r="I414" s="43"/>
      <c r="J414" s="43"/>
      <c r="K414" s="43"/>
      <c r="L414" s="43"/>
      <c r="M414" s="43"/>
      <c r="O414" s="43"/>
      <c r="P414" s="57"/>
      <c r="Q414" s="43"/>
      <c r="R414" s="57"/>
      <c r="S414" s="19"/>
      <c r="T414" s="19"/>
      <c r="U414" s="58"/>
      <c r="V414" s="59" t="str">
        <f t="shared" si="75"/>
        <v/>
      </c>
      <c r="W414" s="60" t="str">
        <f t="shared" si="76"/>
        <v/>
      </c>
      <c r="X414" s="108"/>
      <c r="Y414" s="60"/>
      <c r="Z414" s="60"/>
      <c r="AA414" s="59"/>
      <c r="AB414" s="61"/>
      <c r="AC414" s="59"/>
      <c r="AD414" s="59"/>
      <c r="AE414" s="62"/>
    </row>
    <row r="415" spans="1:31" ht="50.1" customHeight="1" x14ac:dyDescent="0.25">
      <c r="A415" s="18"/>
      <c r="B415" s="43"/>
      <c r="C415" s="56"/>
      <c r="D415" s="56"/>
      <c r="E415" s="55"/>
      <c r="F415" s="55"/>
      <c r="G415" s="56"/>
      <c r="H415" s="129"/>
      <c r="I415" s="43"/>
      <c r="J415" s="43"/>
      <c r="K415" s="43"/>
      <c r="L415" s="43"/>
      <c r="M415" s="43"/>
      <c r="O415" s="43"/>
      <c r="P415" s="57"/>
      <c r="Q415" s="43"/>
      <c r="R415" s="57"/>
      <c r="S415" s="19"/>
      <c r="T415" s="19"/>
      <c r="U415" s="58"/>
      <c r="V415" s="59" t="str">
        <f t="shared" si="75"/>
        <v/>
      </c>
      <c r="W415" s="60" t="str">
        <f t="shared" si="76"/>
        <v/>
      </c>
      <c r="X415" s="108"/>
      <c r="Y415" s="60"/>
      <c r="Z415" s="60"/>
      <c r="AA415" s="59"/>
      <c r="AB415" s="61"/>
      <c r="AC415" s="59"/>
      <c r="AD415" s="59"/>
      <c r="AE415" s="62"/>
    </row>
    <row r="416" spans="1:31" ht="50.1" customHeight="1" x14ac:dyDescent="0.25">
      <c r="A416" s="18"/>
      <c r="B416" s="43"/>
      <c r="C416" s="56"/>
      <c r="D416" s="56"/>
      <c r="E416" s="55"/>
      <c r="F416" s="55"/>
      <c r="G416" s="56"/>
      <c r="H416" s="129"/>
      <c r="I416" s="43"/>
      <c r="J416" s="43"/>
      <c r="K416" s="43"/>
      <c r="L416" s="43"/>
      <c r="M416" s="43"/>
      <c r="O416" s="43"/>
      <c r="P416" s="57"/>
      <c r="Q416" s="43"/>
      <c r="R416" s="57"/>
      <c r="S416" s="19"/>
      <c r="T416" s="19"/>
      <c r="U416" s="58"/>
      <c r="V416" s="59" t="str">
        <f t="shared" si="75"/>
        <v/>
      </c>
      <c r="W416" s="60" t="str">
        <f t="shared" si="76"/>
        <v/>
      </c>
      <c r="X416" s="108"/>
      <c r="Y416" s="60"/>
      <c r="Z416" s="60"/>
      <c r="AA416" s="59"/>
      <c r="AB416" s="61"/>
      <c r="AC416" s="59"/>
      <c r="AD416" s="59"/>
      <c r="AE416" s="62"/>
    </row>
    <row r="417" spans="1:31" ht="50.1" customHeight="1" x14ac:dyDescent="0.25">
      <c r="A417" s="18"/>
      <c r="B417" s="43"/>
      <c r="C417" s="56"/>
      <c r="D417" s="56"/>
      <c r="E417" s="55"/>
      <c r="F417" s="55"/>
      <c r="G417" s="56"/>
      <c r="H417" s="129"/>
      <c r="I417" s="43"/>
      <c r="J417" s="43"/>
      <c r="K417" s="43"/>
      <c r="L417" s="43"/>
      <c r="M417" s="43"/>
      <c r="O417" s="43"/>
      <c r="P417" s="57"/>
      <c r="Q417" s="43"/>
      <c r="R417" s="57"/>
      <c r="S417" s="19"/>
      <c r="T417" s="19"/>
      <c r="U417" s="58"/>
      <c r="V417" s="59" t="str">
        <f t="shared" si="75"/>
        <v/>
      </c>
      <c r="W417" s="60" t="str">
        <f t="shared" si="76"/>
        <v/>
      </c>
      <c r="X417" s="108"/>
      <c r="Y417" s="60"/>
      <c r="Z417" s="60"/>
      <c r="AA417" s="59"/>
      <c r="AB417" s="61"/>
      <c r="AC417" s="59"/>
      <c r="AD417" s="59"/>
      <c r="AE417" s="62"/>
    </row>
    <row r="418" spans="1:31" ht="50.1" customHeight="1" x14ac:dyDescent="0.25">
      <c r="A418" s="18"/>
      <c r="B418" s="43"/>
      <c r="C418" s="56"/>
      <c r="D418" s="56"/>
      <c r="E418" s="55"/>
      <c r="F418" s="55"/>
      <c r="G418" s="56"/>
      <c r="H418" s="129"/>
      <c r="I418" s="43"/>
      <c r="J418" s="43"/>
      <c r="K418" s="43"/>
      <c r="L418" s="43"/>
      <c r="M418" s="43"/>
      <c r="O418" s="43"/>
      <c r="P418" s="57"/>
      <c r="Q418" s="43"/>
      <c r="R418" s="57"/>
      <c r="S418" s="19"/>
      <c r="T418" s="19"/>
      <c r="U418" s="58"/>
      <c r="V418" s="59" t="str">
        <f t="shared" si="75"/>
        <v/>
      </c>
      <c r="W418" s="60" t="str">
        <f t="shared" si="76"/>
        <v/>
      </c>
      <c r="X418" s="108"/>
      <c r="Y418" s="60"/>
      <c r="Z418" s="60"/>
      <c r="AA418" s="59"/>
      <c r="AB418" s="61"/>
      <c r="AC418" s="59"/>
      <c r="AD418" s="59"/>
      <c r="AE418" s="62"/>
    </row>
    <row r="419" spans="1:31" ht="50.1" customHeight="1" x14ac:dyDescent="0.25">
      <c r="A419" s="18"/>
      <c r="B419" s="43"/>
      <c r="C419" s="56"/>
      <c r="D419" s="56"/>
      <c r="E419" s="55"/>
      <c r="F419" s="55"/>
      <c r="G419" s="56"/>
      <c r="H419" s="129"/>
      <c r="I419" s="43"/>
      <c r="J419" s="43"/>
      <c r="K419" s="43"/>
      <c r="L419" s="43"/>
      <c r="M419" s="43"/>
      <c r="O419" s="43"/>
      <c r="P419" s="57"/>
      <c r="Q419" s="43"/>
      <c r="R419" s="57"/>
      <c r="S419" s="19"/>
      <c r="T419" s="19"/>
      <c r="U419" s="58"/>
      <c r="V419" s="59" t="str">
        <f t="shared" si="75"/>
        <v/>
      </c>
      <c r="W419" s="60" t="str">
        <f t="shared" si="76"/>
        <v/>
      </c>
      <c r="X419" s="108"/>
      <c r="Y419" s="60"/>
      <c r="Z419" s="60"/>
      <c r="AA419" s="59"/>
      <c r="AB419" s="61"/>
      <c r="AC419" s="59"/>
      <c r="AD419" s="59"/>
      <c r="AE419" s="62"/>
    </row>
    <row r="420" spans="1:31" ht="50.1" customHeight="1" x14ac:dyDescent="0.25">
      <c r="A420" s="18"/>
      <c r="B420" s="43"/>
      <c r="C420" s="56"/>
      <c r="D420" s="56"/>
      <c r="E420" s="55"/>
      <c r="F420" s="55"/>
      <c r="G420" s="56"/>
      <c r="H420" s="129"/>
      <c r="I420" s="43"/>
      <c r="J420" s="43"/>
      <c r="K420" s="43"/>
      <c r="L420" s="43"/>
      <c r="M420" s="43"/>
      <c r="O420" s="43"/>
      <c r="P420" s="57"/>
      <c r="Q420" s="43"/>
      <c r="R420" s="57"/>
      <c r="S420" s="19"/>
      <c r="T420" s="19"/>
      <c r="U420" s="58"/>
      <c r="V420" s="59" t="str">
        <f t="shared" si="75"/>
        <v/>
      </c>
      <c r="W420" s="60" t="str">
        <f t="shared" si="76"/>
        <v/>
      </c>
      <c r="X420" s="108"/>
      <c r="Y420" s="60"/>
      <c r="Z420" s="60"/>
      <c r="AA420" s="59"/>
      <c r="AB420" s="61"/>
      <c r="AC420" s="59"/>
      <c r="AD420" s="59"/>
      <c r="AE420" s="62"/>
    </row>
    <row r="421" spans="1:31" ht="50.1" customHeight="1" x14ac:dyDescent="0.25">
      <c r="A421" s="18"/>
      <c r="B421" s="43"/>
      <c r="C421" s="56"/>
      <c r="D421" s="56"/>
      <c r="E421" s="55"/>
      <c r="F421" s="55"/>
      <c r="G421" s="56"/>
      <c r="H421" s="129"/>
      <c r="I421" s="43"/>
      <c r="J421" s="43"/>
      <c r="K421" s="43"/>
      <c r="L421" s="43"/>
      <c r="M421" s="43"/>
      <c r="O421" s="43"/>
      <c r="P421" s="57"/>
      <c r="Q421" s="43"/>
      <c r="R421" s="57"/>
      <c r="S421" s="19"/>
      <c r="T421" s="19"/>
      <c r="U421" s="58"/>
      <c r="V421" s="59" t="str">
        <f t="shared" si="75"/>
        <v/>
      </c>
      <c r="W421" s="60" t="str">
        <f t="shared" si="76"/>
        <v/>
      </c>
      <c r="X421" s="108"/>
      <c r="Y421" s="60"/>
      <c r="Z421" s="60"/>
      <c r="AA421" s="59"/>
      <c r="AB421" s="61"/>
      <c r="AC421" s="59"/>
      <c r="AD421" s="59"/>
      <c r="AE421" s="62"/>
    </row>
    <row r="422" spans="1:31" ht="50.1" customHeight="1" x14ac:dyDescent="0.25">
      <c r="A422" s="18"/>
      <c r="B422" s="43"/>
      <c r="C422" s="56"/>
      <c r="D422" s="56"/>
      <c r="E422" s="55"/>
      <c r="F422" s="55"/>
      <c r="G422" s="56"/>
      <c r="H422" s="129"/>
      <c r="I422" s="43"/>
      <c r="J422" s="43"/>
      <c r="K422" s="43"/>
      <c r="L422" s="43"/>
      <c r="M422" s="43"/>
      <c r="O422" s="43"/>
      <c r="P422" s="57"/>
      <c r="Q422" s="43"/>
      <c r="R422" s="57"/>
      <c r="S422" s="19"/>
      <c r="T422" s="19"/>
      <c r="U422" s="58"/>
      <c r="V422" s="59" t="str">
        <f t="shared" si="75"/>
        <v/>
      </c>
      <c r="W422" s="60" t="str">
        <f t="shared" si="76"/>
        <v/>
      </c>
      <c r="X422" s="108"/>
      <c r="Y422" s="60"/>
      <c r="Z422" s="60"/>
      <c r="AA422" s="59"/>
      <c r="AB422" s="61"/>
      <c r="AC422" s="59"/>
      <c r="AD422" s="59"/>
      <c r="AE422" s="62"/>
    </row>
    <row r="423" spans="1:31" ht="50.1" customHeight="1" x14ac:dyDescent="0.25">
      <c r="A423" s="18"/>
      <c r="B423" s="43"/>
      <c r="C423" s="56"/>
      <c r="D423" s="56"/>
      <c r="E423" s="55"/>
      <c r="F423" s="55"/>
      <c r="G423" s="56"/>
      <c r="H423" s="129"/>
      <c r="I423" s="43"/>
      <c r="J423" s="43"/>
      <c r="K423" s="43"/>
      <c r="L423" s="43"/>
      <c r="M423" s="43"/>
      <c r="O423" s="43"/>
      <c r="P423" s="57"/>
      <c r="Q423" s="43"/>
      <c r="R423" s="57"/>
      <c r="S423" s="19"/>
      <c r="T423" s="19"/>
      <c r="U423" s="58"/>
      <c r="V423" s="59" t="str">
        <f t="shared" si="75"/>
        <v/>
      </c>
      <c r="W423" s="60" t="str">
        <f t="shared" si="76"/>
        <v/>
      </c>
      <c r="X423" s="108"/>
      <c r="Y423" s="60"/>
      <c r="Z423" s="60"/>
      <c r="AA423" s="59"/>
      <c r="AB423" s="61"/>
      <c r="AC423" s="59"/>
      <c r="AD423" s="59"/>
      <c r="AE423" s="62"/>
    </row>
    <row r="424" spans="1:31" ht="50.1" customHeight="1" x14ac:dyDescent="0.25">
      <c r="A424" s="18"/>
      <c r="B424" s="43"/>
      <c r="C424" s="56"/>
      <c r="D424" s="56"/>
      <c r="E424" s="55"/>
      <c r="F424" s="55"/>
      <c r="G424" s="56"/>
      <c r="H424" s="129"/>
      <c r="I424" s="43"/>
      <c r="J424" s="43"/>
      <c r="K424" s="43"/>
      <c r="L424" s="43"/>
      <c r="M424" s="43"/>
      <c r="O424" s="43"/>
      <c r="P424" s="57"/>
      <c r="Q424" s="43"/>
      <c r="R424" s="57"/>
      <c r="S424" s="19"/>
      <c r="T424" s="19"/>
      <c r="U424" s="58"/>
      <c r="V424" s="59" t="str">
        <f t="shared" si="75"/>
        <v/>
      </c>
      <c r="W424" s="60" t="str">
        <f t="shared" si="76"/>
        <v/>
      </c>
      <c r="X424" s="108"/>
      <c r="Y424" s="60"/>
      <c r="Z424" s="60"/>
      <c r="AA424" s="59"/>
      <c r="AB424" s="61"/>
      <c r="AC424" s="59"/>
      <c r="AD424" s="59"/>
      <c r="AE424" s="62"/>
    </row>
    <row r="425" spans="1:31" ht="50.1" customHeight="1" x14ac:dyDescent="0.25">
      <c r="A425" s="18"/>
      <c r="B425" s="43"/>
      <c r="C425" s="56"/>
      <c r="D425" s="56"/>
      <c r="E425" s="55"/>
      <c r="F425" s="55"/>
      <c r="G425" s="56"/>
      <c r="H425" s="129"/>
      <c r="I425" s="43"/>
      <c r="J425" s="43"/>
      <c r="K425" s="43"/>
      <c r="L425" s="43"/>
      <c r="M425" s="43"/>
      <c r="O425" s="43"/>
      <c r="P425" s="57"/>
      <c r="Q425" s="43"/>
      <c r="R425" s="57"/>
      <c r="S425" s="19"/>
      <c r="T425" s="19"/>
      <c r="U425" s="58"/>
      <c r="V425" s="59" t="str">
        <f t="shared" si="75"/>
        <v/>
      </c>
      <c r="W425" s="60" t="str">
        <f t="shared" si="76"/>
        <v/>
      </c>
      <c r="X425" s="108"/>
      <c r="Y425" s="60"/>
      <c r="Z425" s="60"/>
      <c r="AA425" s="59"/>
      <c r="AB425" s="61"/>
      <c r="AC425" s="59"/>
      <c r="AD425" s="59"/>
      <c r="AE425" s="62"/>
    </row>
    <row r="426" spans="1:31" ht="50.1" customHeight="1" x14ac:dyDescent="0.25">
      <c r="A426" s="18"/>
      <c r="B426" s="43"/>
      <c r="C426" s="56"/>
      <c r="D426" s="56"/>
      <c r="E426" s="55"/>
      <c r="F426" s="55"/>
      <c r="G426" s="56"/>
      <c r="H426" s="129"/>
      <c r="I426" s="43"/>
      <c r="J426" s="43"/>
      <c r="K426" s="43"/>
      <c r="L426" s="43"/>
      <c r="M426" s="43"/>
      <c r="O426" s="43"/>
      <c r="P426" s="57"/>
      <c r="Q426" s="43"/>
      <c r="R426" s="57"/>
      <c r="S426" s="19"/>
      <c r="T426" s="19"/>
      <c r="U426" s="58"/>
      <c r="V426" s="59" t="str">
        <f t="shared" si="75"/>
        <v/>
      </c>
      <c r="W426" s="60" t="str">
        <f t="shared" si="76"/>
        <v/>
      </c>
      <c r="X426" s="108"/>
      <c r="Y426" s="60"/>
      <c r="Z426" s="60"/>
      <c r="AA426" s="59"/>
      <c r="AB426" s="61"/>
      <c r="AC426" s="59"/>
      <c r="AD426" s="59"/>
      <c r="AE426" s="62"/>
    </row>
    <row r="427" spans="1:31" ht="50.1" customHeight="1" x14ac:dyDescent="0.25">
      <c r="A427" s="18"/>
      <c r="B427" s="43"/>
      <c r="C427" s="56"/>
      <c r="D427" s="56"/>
      <c r="E427" s="55"/>
      <c r="F427" s="55"/>
      <c r="G427" s="56"/>
      <c r="H427" s="129"/>
      <c r="I427" s="43"/>
      <c r="J427" s="43"/>
      <c r="K427" s="43"/>
      <c r="L427" s="43"/>
      <c r="M427" s="43"/>
      <c r="O427" s="43"/>
      <c r="P427" s="57"/>
      <c r="Q427" s="43"/>
      <c r="R427" s="57"/>
      <c r="S427" s="19"/>
      <c r="T427" s="19"/>
      <c r="U427" s="58"/>
      <c r="V427" s="59" t="str">
        <f t="shared" ref="V427:V458" si="77">IF((T427=""),"",IF((X427="Cerrada"),(U427-T427),IF((($AB$2-T427)&lt;=0),"-",($AB$2-T427))))</f>
        <v/>
      </c>
      <c r="W427" s="60" t="str">
        <f t="shared" si="76"/>
        <v/>
      </c>
      <c r="X427" s="108"/>
      <c r="Y427" s="60"/>
      <c r="Z427" s="60"/>
      <c r="AA427" s="59"/>
      <c r="AB427" s="61"/>
      <c r="AC427" s="59"/>
      <c r="AD427" s="59"/>
      <c r="AE427" s="62"/>
    </row>
    <row r="428" spans="1:31" ht="50.1" customHeight="1" x14ac:dyDescent="0.25">
      <c r="A428" s="18"/>
      <c r="B428" s="43"/>
      <c r="C428" s="56"/>
      <c r="D428" s="56"/>
      <c r="E428" s="55"/>
      <c r="F428" s="55"/>
      <c r="G428" s="56"/>
      <c r="H428" s="129"/>
      <c r="I428" s="43"/>
      <c r="J428" s="43"/>
      <c r="K428" s="43"/>
      <c r="L428" s="43"/>
      <c r="M428" s="43"/>
      <c r="O428" s="43"/>
      <c r="P428" s="57"/>
      <c r="Q428" s="43"/>
      <c r="R428" s="57"/>
      <c r="S428" s="19"/>
      <c r="T428" s="19"/>
      <c r="U428" s="58"/>
      <c r="V428" s="59" t="str">
        <f t="shared" si="77"/>
        <v/>
      </c>
      <c r="W428" s="60" t="str">
        <f t="shared" si="76"/>
        <v/>
      </c>
      <c r="X428" s="108"/>
      <c r="Y428" s="60"/>
      <c r="Z428" s="60"/>
      <c r="AA428" s="59"/>
      <c r="AB428" s="61"/>
      <c r="AC428" s="59"/>
      <c r="AD428" s="59"/>
      <c r="AE428" s="62"/>
    </row>
    <row r="429" spans="1:31" ht="50.1" customHeight="1" x14ac:dyDescent="0.25">
      <c r="A429" s="18"/>
      <c r="B429" s="43"/>
      <c r="C429" s="56"/>
      <c r="D429" s="56"/>
      <c r="E429" s="55"/>
      <c r="F429" s="55"/>
      <c r="G429" s="56"/>
      <c r="H429" s="129"/>
      <c r="I429" s="43"/>
      <c r="J429" s="43"/>
      <c r="K429" s="43"/>
      <c r="L429" s="43"/>
      <c r="M429" s="43"/>
      <c r="O429" s="43"/>
      <c r="P429" s="57"/>
      <c r="Q429" s="43"/>
      <c r="R429" s="57"/>
      <c r="S429" s="19"/>
      <c r="T429" s="19"/>
      <c r="U429" s="58"/>
      <c r="V429" s="59" t="str">
        <f t="shared" si="77"/>
        <v/>
      </c>
      <c r="W429" s="60" t="str">
        <f t="shared" si="76"/>
        <v/>
      </c>
      <c r="X429" s="108"/>
      <c r="Y429" s="60"/>
      <c r="Z429" s="60"/>
      <c r="AA429" s="59"/>
      <c r="AB429" s="61"/>
      <c r="AC429" s="59"/>
      <c r="AD429" s="59"/>
      <c r="AE429" s="62"/>
    </row>
    <row r="430" spans="1:31" ht="50.1" customHeight="1" x14ac:dyDescent="0.25">
      <c r="A430" s="18"/>
      <c r="B430" s="43"/>
      <c r="C430" s="56"/>
      <c r="D430" s="56"/>
      <c r="E430" s="55"/>
      <c r="F430" s="55"/>
      <c r="G430" s="56"/>
      <c r="H430" s="129"/>
      <c r="I430" s="43"/>
      <c r="J430" s="43"/>
      <c r="K430" s="43"/>
      <c r="L430" s="43"/>
      <c r="M430" s="43"/>
      <c r="O430" s="43"/>
      <c r="P430" s="57"/>
      <c r="Q430" s="43"/>
      <c r="R430" s="57"/>
      <c r="S430" s="19"/>
      <c r="T430" s="19"/>
      <c r="U430" s="58"/>
      <c r="V430" s="59" t="str">
        <f t="shared" si="77"/>
        <v/>
      </c>
      <c r="W430" s="60" t="str">
        <f t="shared" si="76"/>
        <v/>
      </c>
      <c r="X430" s="108"/>
      <c r="Y430" s="60"/>
      <c r="Z430" s="60"/>
      <c r="AA430" s="59"/>
      <c r="AB430" s="61"/>
      <c r="AC430" s="59"/>
      <c r="AD430" s="59"/>
      <c r="AE430" s="62"/>
    </row>
    <row r="431" spans="1:31" ht="50.1" customHeight="1" x14ac:dyDescent="0.25">
      <c r="A431" s="18"/>
      <c r="B431" s="43"/>
      <c r="C431" s="56"/>
      <c r="D431" s="56"/>
      <c r="E431" s="55"/>
      <c r="F431" s="55"/>
      <c r="G431" s="56"/>
      <c r="H431" s="129"/>
      <c r="I431" s="43"/>
      <c r="J431" s="43"/>
      <c r="K431" s="43"/>
      <c r="L431" s="43"/>
      <c r="M431" s="43"/>
      <c r="O431" s="43"/>
      <c r="P431" s="57"/>
      <c r="Q431" s="43"/>
      <c r="R431" s="57"/>
      <c r="S431" s="19"/>
      <c r="T431" s="19"/>
      <c r="U431" s="58"/>
      <c r="V431" s="59" t="str">
        <f t="shared" si="77"/>
        <v/>
      </c>
      <c r="W431" s="60" t="str">
        <f t="shared" si="76"/>
        <v/>
      </c>
      <c r="X431" s="108"/>
      <c r="Y431" s="60"/>
      <c r="Z431" s="60"/>
      <c r="AA431" s="59"/>
      <c r="AB431" s="61"/>
      <c r="AC431" s="59"/>
      <c r="AD431" s="59"/>
      <c r="AE431" s="62"/>
    </row>
    <row r="432" spans="1:31" ht="50.1" customHeight="1" x14ac:dyDescent="0.25">
      <c r="A432" s="18"/>
      <c r="B432" s="43"/>
      <c r="C432" s="56"/>
      <c r="D432" s="56"/>
      <c r="E432" s="55"/>
      <c r="F432" s="55"/>
      <c r="G432" s="56"/>
      <c r="H432" s="129"/>
      <c r="I432" s="43"/>
      <c r="J432" s="43"/>
      <c r="K432" s="43"/>
      <c r="L432" s="43"/>
      <c r="M432" s="43"/>
      <c r="O432" s="43"/>
      <c r="P432" s="57"/>
      <c r="Q432" s="43"/>
      <c r="R432" s="57"/>
      <c r="S432" s="19"/>
      <c r="T432" s="19"/>
      <c r="U432" s="58"/>
      <c r="V432" s="59" t="str">
        <f t="shared" si="77"/>
        <v/>
      </c>
      <c r="W432" s="60" t="str">
        <f t="shared" si="76"/>
        <v/>
      </c>
      <c r="X432" s="108"/>
      <c r="Y432" s="60"/>
      <c r="Z432" s="60"/>
      <c r="AA432" s="59"/>
      <c r="AB432" s="61"/>
      <c r="AC432" s="59"/>
      <c r="AD432" s="59"/>
      <c r="AE432" s="62"/>
    </row>
    <row r="433" spans="1:31" ht="50.1" customHeight="1" x14ac:dyDescent="0.25">
      <c r="A433" s="18"/>
      <c r="B433" s="43"/>
      <c r="C433" s="56"/>
      <c r="D433" s="56"/>
      <c r="E433" s="55"/>
      <c r="F433" s="55"/>
      <c r="G433" s="56"/>
      <c r="H433" s="129"/>
      <c r="I433" s="43"/>
      <c r="J433" s="43"/>
      <c r="K433" s="43"/>
      <c r="L433" s="43"/>
      <c r="M433" s="43"/>
      <c r="O433" s="43"/>
      <c r="P433" s="57"/>
      <c r="Q433" s="43"/>
      <c r="R433" s="57"/>
      <c r="S433" s="19"/>
      <c r="T433" s="19"/>
      <c r="U433" s="58"/>
      <c r="V433" s="59" t="str">
        <f t="shared" si="77"/>
        <v/>
      </c>
      <c r="W433" s="60" t="str">
        <f t="shared" si="76"/>
        <v/>
      </c>
      <c r="X433" s="108"/>
      <c r="Y433" s="60"/>
      <c r="Z433" s="60"/>
      <c r="AA433" s="59"/>
      <c r="AB433" s="61"/>
      <c r="AC433" s="59"/>
      <c r="AD433" s="59"/>
      <c r="AE433" s="62"/>
    </row>
    <row r="434" spans="1:31" ht="50.1" customHeight="1" x14ac:dyDescent="0.25">
      <c r="A434" s="18"/>
      <c r="B434" s="43"/>
      <c r="C434" s="56"/>
      <c r="D434" s="56"/>
      <c r="E434" s="55"/>
      <c r="F434" s="55"/>
      <c r="G434" s="56"/>
      <c r="H434" s="129"/>
      <c r="I434" s="43"/>
      <c r="J434" s="43"/>
      <c r="K434" s="43"/>
      <c r="L434" s="43"/>
      <c r="M434" s="43"/>
      <c r="O434" s="43"/>
      <c r="P434" s="57"/>
      <c r="Q434" s="43"/>
      <c r="R434" s="57"/>
      <c r="S434" s="19"/>
      <c r="T434" s="19"/>
      <c r="U434" s="58"/>
      <c r="V434" s="59" t="str">
        <f t="shared" si="77"/>
        <v/>
      </c>
      <c r="W434" s="60" t="str">
        <f t="shared" si="76"/>
        <v/>
      </c>
      <c r="X434" s="108"/>
      <c r="Y434" s="60"/>
      <c r="Z434" s="60"/>
      <c r="AA434" s="59"/>
      <c r="AB434" s="61"/>
      <c r="AC434" s="59"/>
      <c r="AD434" s="59"/>
      <c r="AE434" s="62"/>
    </row>
    <row r="435" spans="1:31" ht="50.1" customHeight="1" x14ac:dyDescent="0.25">
      <c r="A435" s="18"/>
      <c r="B435" s="43"/>
      <c r="C435" s="56"/>
      <c r="D435" s="56"/>
      <c r="E435" s="55"/>
      <c r="F435" s="55"/>
      <c r="G435" s="56"/>
      <c r="H435" s="129"/>
      <c r="I435" s="43"/>
      <c r="J435" s="43"/>
      <c r="K435" s="43"/>
      <c r="L435" s="43"/>
      <c r="M435" s="43"/>
      <c r="O435" s="43"/>
      <c r="P435" s="57"/>
      <c r="Q435" s="43"/>
      <c r="R435" s="57"/>
      <c r="S435" s="19"/>
      <c r="T435" s="19"/>
      <c r="U435" s="58"/>
      <c r="V435" s="59" t="str">
        <f t="shared" si="77"/>
        <v/>
      </c>
      <c r="W435" s="60" t="str">
        <f t="shared" si="76"/>
        <v/>
      </c>
      <c r="X435" s="108"/>
      <c r="Y435" s="60"/>
      <c r="Z435" s="60"/>
      <c r="AA435" s="59"/>
      <c r="AB435" s="61"/>
      <c r="AC435" s="59"/>
      <c r="AD435" s="59"/>
      <c r="AE435" s="62"/>
    </row>
    <row r="436" spans="1:31" ht="50.1" customHeight="1" x14ac:dyDescent="0.25">
      <c r="A436" s="18"/>
      <c r="B436" s="43"/>
      <c r="C436" s="56"/>
      <c r="D436" s="56"/>
      <c r="E436" s="55"/>
      <c r="F436" s="55"/>
      <c r="G436" s="56"/>
      <c r="H436" s="129"/>
      <c r="I436" s="43"/>
      <c r="J436" s="43"/>
      <c r="K436" s="43"/>
      <c r="L436" s="43"/>
      <c r="M436" s="43"/>
      <c r="O436" s="43"/>
      <c r="P436" s="57"/>
      <c r="Q436" s="43"/>
      <c r="R436" s="57"/>
      <c r="S436" s="19"/>
      <c r="T436" s="19"/>
      <c r="U436" s="58"/>
      <c r="V436" s="59" t="str">
        <f t="shared" si="77"/>
        <v/>
      </c>
      <c r="W436" s="60" t="str">
        <f t="shared" si="76"/>
        <v/>
      </c>
      <c r="X436" s="108"/>
      <c r="Y436" s="60"/>
      <c r="Z436" s="60"/>
      <c r="AA436" s="59"/>
      <c r="AB436" s="61"/>
      <c r="AC436" s="59"/>
      <c r="AD436" s="59"/>
      <c r="AE436" s="62"/>
    </row>
    <row r="437" spans="1:31" ht="50.1" customHeight="1" x14ac:dyDescent="0.25">
      <c r="A437" s="18"/>
      <c r="B437" s="43"/>
      <c r="C437" s="56"/>
      <c r="D437" s="56"/>
      <c r="E437" s="55"/>
      <c r="F437" s="55"/>
      <c r="G437" s="56"/>
      <c r="H437" s="129"/>
      <c r="I437" s="43"/>
      <c r="J437" s="43"/>
      <c r="K437" s="43"/>
      <c r="L437" s="43"/>
      <c r="M437" s="43"/>
      <c r="O437" s="43"/>
      <c r="P437" s="57"/>
      <c r="Q437" s="43"/>
      <c r="R437" s="57"/>
      <c r="S437" s="19"/>
      <c r="T437" s="19"/>
      <c r="U437" s="58"/>
      <c r="V437" s="59" t="str">
        <f t="shared" si="77"/>
        <v/>
      </c>
      <c r="W437" s="60" t="str">
        <f t="shared" si="76"/>
        <v/>
      </c>
      <c r="X437" s="108"/>
      <c r="Y437" s="60"/>
      <c r="Z437" s="60"/>
      <c r="AA437" s="59"/>
      <c r="AB437" s="61"/>
      <c r="AC437" s="59"/>
      <c r="AD437" s="59"/>
      <c r="AE437" s="62"/>
    </row>
    <row r="438" spans="1:31" ht="50.1" customHeight="1" x14ac:dyDescent="0.25">
      <c r="A438" s="18"/>
      <c r="B438" s="43"/>
      <c r="C438" s="56"/>
      <c r="D438" s="56"/>
      <c r="E438" s="55"/>
      <c r="F438" s="55"/>
      <c r="G438" s="56"/>
      <c r="H438" s="129"/>
      <c r="I438" s="43"/>
      <c r="J438" s="43"/>
      <c r="K438" s="43"/>
      <c r="L438" s="43"/>
      <c r="M438" s="43"/>
      <c r="O438" s="43"/>
      <c r="P438" s="57"/>
      <c r="Q438" s="43"/>
      <c r="R438" s="57"/>
      <c r="S438" s="19"/>
      <c r="T438" s="19"/>
      <c r="U438" s="58"/>
      <c r="V438" s="59" t="str">
        <f t="shared" si="77"/>
        <v/>
      </c>
      <c r="W438" s="60" t="str">
        <f t="shared" si="76"/>
        <v/>
      </c>
      <c r="X438" s="108"/>
      <c r="Y438" s="60"/>
      <c r="Z438" s="60"/>
      <c r="AA438" s="59"/>
      <c r="AB438" s="61"/>
      <c r="AC438" s="59"/>
      <c r="AD438" s="59"/>
      <c r="AE438" s="62"/>
    </row>
    <row r="439" spans="1:31" ht="50.1" customHeight="1" x14ac:dyDescent="0.25">
      <c r="A439" s="18"/>
      <c r="B439" s="43"/>
      <c r="C439" s="56"/>
      <c r="D439" s="56"/>
      <c r="E439" s="55"/>
      <c r="F439" s="55"/>
      <c r="G439" s="56"/>
      <c r="H439" s="129"/>
      <c r="I439" s="43"/>
      <c r="J439" s="43"/>
      <c r="K439" s="43"/>
      <c r="L439" s="43"/>
      <c r="M439" s="43"/>
      <c r="O439" s="43"/>
      <c r="P439" s="57"/>
      <c r="Q439" s="43"/>
      <c r="R439" s="57"/>
      <c r="S439" s="19"/>
      <c r="T439" s="19"/>
      <c r="U439" s="58"/>
      <c r="V439" s="59" t="str">
        <f t="shared" si="77"/>
        <v/>
      </c>
      <c r="W439" s="60" t="str">
        <f t="shared" si="76"/>
        <v/>
      </c>
      <c r="X439" s="108"/>
      <c r="Y439" s="60"/>
      <c r="Z439" s="60"/>
      <c r="AA439" s="59"/>
      <c r="AB439" s="63"/>
      <c r="AC439" s="59"/>
      <c r="AD439" s="59"/>
      <c r="AE439" s="62"/>
    </row>
    <row r="440" spans="1:31" ht="50.1" customHeight="1" x14ac:dyDescent="0.25">
      <c r="A440" s="18"/>
      <c r="B440" s="43"/>
      <c r="C440" s="56"/>
      <c r="D440" s="56"/>
      <c r="E440" s="55"/>
      <c r="F440" s="55"/>
      <c r="G440" s="56"/>
      <c r="H440" s="129"/>
      <c r="I440" s="43"/>
      <c r="J440" s="43"/>
      <c r="K440" s="43"/>
      <c r="L440" s="43"/>
      <c r="M440" s="43"/>
      <c r="O440" s="43"/>
      <c r="P440" s="57"/>
      <c r="Q440" s="43"/>
      <c r="R440" s="57"/>
      <c r="S440" s="19"/>
      <c r="T440" s="19"/>
      <c r="U440" s="58"/>
      <c r="V440" s="59" t="str">
        <f t="shared" si="77"/>
        <v/>
      </c>
      <c r="W440" s="60" t="str">
        <f t="shared" si="76"/>
        <v/>
      </c>
      <c r="X440" s="108"/>
      <c r="Y440" s="60"/>
      <c r="Z440" s="60"/>
      <c r="AA440" s="59"/>
      <c r="AB440" s="63"/>
      <c r="AC440" s="59"/>
      <c r="AD440" s="59"/>
      <c r="AE440" s="62"/>
    </row>
    <row r="441" spans="1:31" ht="50.1" customHeight="1" x14ac:dyDescent="0.25">
      <c r="A441" s="18"/>
      <c r="B441" s="43"/>
      <c r="C441" s="56"/>
      <c r="D441" s="56"/>
      <c r="E441" s="55"/>
      <c r="F441" s="55"/>
      <c r="G441" s="56"/>
      <c r="H441" s="129"/>
      <c r="I441" s="43"/>
      <c r="J441" s="43"/>
      <c r="K441" s="43"/>
      <c r="L441" s="43"/>
      <c r="M441" s="43"/>
      <c r="O441" s="43"/>
      <c r="P441" s="57"/>
      <c r="Q441" s="43"/>
      <c r="R441" s="57"/>
      <c r="S441" s="19"/>
      <c r="T441" s="19"/>
      <c r="U441" s="58"/>
      <c r="V441" s="59" t="str">
        <f t="shared" si="77"/>
        <v/>
      </c>
      <c r="W441" s="60" t="str">
        <f t="shared" ref="W441:W472" si="78">IF((T441=""),"",IF((X441="Cerrada"),"Realizada",IF(OR((($AB$2-T441)=0),(($AB$2-T441)=-1),(($AB$2-T441)=-2),(($AB$2-T441)=-3)),"Tiempo Límite",IF((V441="-"),"En Proceso","Atrasada"))))</f>
        <v/>
      </c>
      <c r="X441" s="108"/>
      <c r="Y441" s="60"/>
      <c r="Z441" s="60"/>
      <c r="AA441" s="59"/>
      <c r="AB441" s="63"/>
      <c r="AC441" s="59"/>
      <c r="AD441" s="59"/>
      <c r="AE441" s="62"/>
    </row>
    <row r="442" spans="1:31" ht="50.1" customHeight="1" x14ac:dyDescent="0.25">
      <c r="A442" s="18"/>
      <c r="B442" s="43"/>
      <c r="C442" s="56"/>
      <c r="D442" s="56"/>
      <c r="E442" s="55"/>
      <c r="F442" s="55"/>
      <c r="G442" s="56"/>
      <c r="H442" s="129"/>
      <c r="I442" s="43"/>
      <c r="J442" s="43"/>
      <c r="K442" s="43"/>
      <c r="L442" s="43"/>
      <c r="M442" s="43"/>
      <c r="O442" s="43"/>
      <c r="P442" s="57"/>
      <c r="Q442" s="43"/>
      <c r="R442" s="57"/>
      <c r="S442" s="19"/>
      <c r="T442" s="19"/>
      <c r="U442" s="58"/>
      <c r="V442" s="59" t="str">
        <f t="shared" si="77"/>
        <v/>
      </c>
      <c r="W442" s="60" t="str">
        <f t="shared" si="78"/>
        <v/>
      </c>
      <c r="X442" s="108"/>
      <c r="Y442" s="60"/>
      <c r="Z442" s="60"/>
      <c r="AA442" s="59"/>
      <c r="AB442" s="63"/>
      <c r="AC442" s="59"/>
      <c r="AD442" s="59"/>
      <c r="AE442" s="62"/>
    </row>
    <row r="443" spans="1:31" ht="50.1" customHeight="1" x14ac:dyDescent="0.25">
      <c r="A443" s="18"/>
      <c r="B443" s="43"/>
      <c r="C443" s="56"/>
      <c r="D443" s="56"/>
      <c r="E443" s="55"/>
      <c r="F443" s="55"/>
      <c r="G443" s="56"/>
      <c r="H443" s="129"/>
      <c r="I443" s="43"/>
      <c r="J443" s="43"/>
      <c r="K443" s="43"/>
      <c r="L443" s="43"/>
      <c r="M443" s="43"/>
      <c r="O443" s="43"/>
      <c r="P443" s="57"/>
      <c r="Q443" s="43"/>
      <c r="R443" s="57"/>
      <c r="S443" s="19"/>
      <c r="T443" s="19"/>
      <c r="U443" s="58"/>
      <c r="V443" s="59" t="str">
        <f t="shared" si="77"/>
        <v/>
      </c>
      <c r="W443" s="60" t="str">
        <f t="shared" si="78"/>
        <v/>
      </c>
      <c r="X443" s="108"/>
      <c r="Y443" s="60"/>
      <c r="Z443" s="60"/>
      <c r="AA443" s="59"/>
      <c r="AB443" s="63"/>
      <c r="AC443" s="59"/>
      <c r="AD443" s="59"/>
      <c r="AE443" s="62"/>
    </row>
    <row r="444" spans="1:31" ht="50.1" customHeight="1" x14ac:dyDescent="0.25">
      <c r="A444" s="18"/>
      <c r="B444" s="43"/>
      <c r="C444" s="56"/>
      <c r="D444" s="56"/>
      <c r="E444" s="55"/>
      <c r="F444" s="55"/>
      <c r="G444" s="56"/>
      <c r="H444" s="129"/>
      <c r="I444" s="43"/>
      <c r="J444" s="43"/>
      <c r="K444" s="43"/>
      <c r="L444" s="43"/>
      <c r="M444" s="43"/>
      <c r="O444" s="43"/>
      <c r="P444" s="57"/>
      <c r="Q444" s="43"/>
      <c r="R444" s="57"/>
      <c r="S444" s="19"/>
      <c r="T444" s="19"/>
      <c r="U444" s="58"/>
      <c r="V444" s="59" t="str">
        <f t="shared" si="77"/>
        <v/>
      </c>
      <c r="W444" s="60" t="str">
        <f t="shared" si="78"/>
        <v/>
      </c>
      <c r="X444" s="108"/>
      <c r="Y444" s="60"/>
      <c r="Z444" s="60"/>
      <c r="AA444" s="59"/>
      <c r="AB444" s="63"/>
      <c r="AC444" s="59"/>
      <c r="AD444" s="59"/>
      <c r="AE444" s="62"/>
    </row>
    <row r="445" spans="1:31" ht="50.1" customHeight="1" x14ac:dyDescent="0.25">
      <c r="A445" s="18"/>
      <c r="B445" s="43"/>
      <c r="C445" s="56"/>
      <c r="D445" s="56"/>
      <c r="E445" s="55"/>
      <c r="F445" s="55"/>
      <c r="G445" s="56"/>
      <c r="H445" s="129"/>
      <c r="I445" s="43"/>
      <c r="J445" s="43"/>
      <c r="K445" s="43"/>
      <c r="L445" s="43"/>
      <c r="M445" s="43"/>
      <c r="O445" s="43"/>
      <c r="P445" s="57"/>
      <c r="Q445" s="43"/>
      <c r="R445" s="57"/>
      <c r="S445" s="19"/>
      <c r="T445" s="19"/>
      <c r="U445" s="58"/>
      <c r="V445" s="59" t="str">
        <f t="shared" si="77"/>
        <v/>
      </c>
      <c r="W445" s="60" t="str">
        <f t="shared" si="78"/>
        <v/>
      </c>
      <c r="X445" s="108"/>
      <c r="Y445" s="60"/>
      <c r="Z445" s="60"/>
      <c r="AA445" s="59"/>
      <c r="AB445" s="63"/>
      <c r="AC445" s="59"/>
      <c r="AD445" s="59"/>
      <c r="AE445" s="62"/>
    </row>
    <row r="446" spans="1:31" ht="50.1" customHeight="1" x14ac:dyDescent="0.25">
      <c r="A446" s="18"/>
      <c r="B446" s="43"/>
      <c r="C446" s="56"/>
      <c r="D446" s="56"/>
      <c r="E446" s="55"/>
      <c r="F446" s="55"/>
      <c r="G446" s="56"/>
      <c r="H446" s="129"/>
      <c r="I446" s="43"/>
      <c r="J446" s="43"/>
      <c r="K446" s="43"/>
      <c r="L446" s="43"/>
      <c r="M446" s="43"/>
      <c r="O446" s="43"/>
      <c r="P446" s="57"/>
      <c r="Q446" s="43"/>
      <c r="R446" s="57"/>
      <c r="S446" s="19"/>
      <c r="T446" s="19"/>
      <c r="U446" s="58"/>
      <c r="V446" s="59" t="str">
        <f t="shared" si="77"/>
        <v/>
      </c>
      <c r="W446" s="60" t="str">
        <f t="shared" si="78"/>
        <v/>
      </c>
      <c r="X446" s="108"/>
      <c r="Y446" s="60"/>
      <c r="Z446" s="60"/>
      <c r="AA446" s="59"/>
      <c r="AB446" s="63"/>
      <c r="AC446" s="59"/>
      <c r="AD446" s="59"/>
      <c r="AE446" s="62"/>
    </row>
    <row r="447" spans="1:31" ht="50.1" customHeight="1" x14ac:dyDescent="0.25">
      <c r="A447" s="18"/>
      <c r="B447" s="43"/>
      <c r="C447" s="56"/>
      <c r="D447" s="56"/>
      <c r="E447" s="55"/>
      <c r="F447" s="55"/>
      <c r="G447" s="56"/>
      <c r="H447" s="129"/>
      <c r="I447" s="43"/>
      <c r="J447" s="43"/>
      <c r="K447" s="43"/>
      <c r="L447" s="43"/>
      <c r="M447" s="43"/>
      <c r="O447" s="43"/>
      <c r="P447" s="57"/>
      <c r="Q447" s="43"/>
      <c r="R447" s="57"/>
      <c r="S447" s="19"/>
      <c r="T447" s="19"/>
      <c r="U447" s="58"/>
      <c r="V447" s="59" t="str">
        <f t="shared" si="77"/>
        <v/>
      </c>
      <c r="W447" s="60" t="str">
        <f t="shared" si="78"/>
        <v/>
      </c>
      <c r="X447" s="108"/>
      <c r="Y447" s="60"/>
      <c r="Z447" s="60"/>
      <c r="AA447" s="59"/>
      <c r="AB447" s="63"/>
      <c r="AC447" s="59"/>
      <c r="AD447" s="59"/>
      <c r="AE447" s="62"/>
    </row>
    <row r="448" spans="1:31" ht="50.1" customHeight="1" x14ac:dyDescent="0.25">
      <c r="A448" s="18"/>
      <c r="B448" s="43"/>
      <c r="C448" s="56"/>
      <c r="D448" s="56"/>
      <c r="E448" s="55"/>
      <c r="F448" s="55"/>
      <c r="G448" s="56"/>
      <c r="H448" s="129"/>
      <c r="I448" s="43"/>
      <c r="J448" s="43"/>
      <c r="K448" s="43"/>
      <c r="L448" s="43"/>
      <c r="M448" s="43"/>
      <c r="O448" s="43"/>
      <c r="P448" s="57"/>
      <c r="Q448" s="43"/>
      <c r="R448" s="57"/>
      <c r="S448" s="19"/>
      <c r="T448" s="19"/>
      <c r="U448" s="58"/>
      <c r="V448" s="59" t="str">
        <f t="shared" si="77"/>
        <v/>
      </c>
      <c r="W448" s="60" t="str">
        <f t="shared" si="78"/>
        <v/>
      </c>
      <c r="X448" s="108"/>
      <c r="Y448" s="60"/>
      <c r="Z448" s="60"/>
      <c r="AA448" s="59"/>
      <c r="AB448" s="63"/>
      <c r="AC448" s="59"/>
      <c r="AD448" s="59"/>
      <c r="AE448" s="62"/>
    </row>
    <row r="449" spans="1:31" ht="50.1" customHeight="1" x14ac:dyDescent="0.25">
      <c r="A449" s="18"/>
      <c r="B449" s="43"/>
      <c r="C449" s="56"/>
      <c r="D449" s="56"/>
      <c r="E449" s="55"/>
      <c r="F449" s="55"/>
      <c r="G449" s="56"/>
      <c r="H449" s="129"/>
      <c r="I449" s="43"/>
      <c r="J449" s="43"/>
      <c r="K449" s="43"/>
      <c r="L449" s="43"/>
      <c r="M449" s="43"/>
      <c r="O449" s="43"/>
      <c r="P449" s="57"/>
      <c r="Q449" s="43"/>
      <c r="R449" s="57"/>
      <c r="S449" s="19"/>
      <c r="T449" s="19"/>
      <c r="U449" s="58"/>
      <c r="V449" s="59" t="str">
        <f t="shared" si="77"/>
        <v/>
      </c>
      <c r="W449" s="60" t="str">
        <f t="shared" si="78"/>
        <v/>
      </c>
      <c r="X449" s="108"/>
      <c r="Y449" s="60"/>
      <c r="Z449" s="60"/>
      <c r="AA449" s="59"/>
      <c r="AB449" s="63"/>
      <c r="AC449" s="59"/>
      <c r="AD449" s="59"/>
      <c r="AE449" s="62"/>
    </row>
    <row r="450" spans="1:31" ht="50.1" customHeight="1" x14ac:dyDescent="0.25">
      <c r="A450" s="18"/>
      <c r="B450" s="43"/>
      <c r="C450" s="56"/>
      <c r="D450" s="56"/>
      <c r="E450" s="55"/>
      <c r="F450" s="55"/>
      <c r="G450" s="56"/>
      <c r="H450" s="129"/>
      <c r="I450" s="43"/>
      <c r="J450" s="43"/>
      <c r="K450" s="43"/>
      <c r="L450" s="43"/>
      <c r="M450" s="43"/>
      <c r="O450" s="43"/>
      <c r="P450" s="57"/>
      <c r="Q450" s="43"/>
      <c r="R450" s="57"/>
      <c r="S450" s="19"/>
      <c r="T450" s="19"/>
      <c r="U450" s="58"/>
      <c r="V450" s="59" t="str">
        <f t="shared" si="77"/>
        <v/>
      </c>
      <c r="W450" s="60" t="str">
        <f t="shared" si="78"/>
        <v/>
      </c>
      <c r="X450" s="108"/>
      <c r="Y450" s="60"/>
      <c r="Z450" s="60"/>
      <c r="AA450" s="59"/>
      <c r="AB450" s="63"/>
      <c r="AC450" s="59"/>
      <c r="AD450" s="59"/>
      <c r="AE450" s="62"/>
    </row>
    <row r="451" spans="1:31" ht="50.1" customHeight="1" x14ac:dyDescent="0.25">
      <c r="A451" s="18"/>
      <c r="B451" s="43"/>
      <c r="C451" s="56"/>
      <c r="D451" s="56"/>
      <c r="E451" s="55"/>
      <c r="F451" s="55"/>
      <c r="G451" s="56"/>
      <c r="H451" s="129"/>
      <c r="I451" s="43"/>
      <c r="J451" s="43"/>
      <c r="K451" s="43"/>
      <c r="L451" s="43"/>
      <c r="M451" s="43"/>
      <c r="O451" s="43"/>
      <c r="P451" s="57"/>
      <c r="Q451" s="43"/>
      <c r="R451" s="57"/>
      <c r="S451" s="19"/>
      <c r="T451" s="19"/>
      <c r="U451" s="58"/>
      <c r="V451" s="59" t="str">
        <f t="shared" si="77"/>
        <v/>
      </c>
      <c r="W451" s="60" t="str">
        <f t="shared" si="78"/>
        <v/>
      </c>
      <c r="X451" s="108"/>
      <c r="Y451" s="60"/>
      <c r="Z451" s="60"/>
      <c r="AA451" s="59"/>
      <c r="AB451" s="63"/>
      <c r="AC451" s="59"/>
      <c r="AD451" s="59"/>
      <c r="AE451" s="62"/>
    </row>
    <row r="452" spans="1:31" ht="50.1" customHeight="1" x14ac:dyDescent="0.25">
      <c r="A452" s="18"/>
      <c r="B452" s="43"/>
      <c r="C452" s="56"/>
      <c r="D452" s="56"/>
      <c r="E452" s="55"/>
      <c r="F452" s="55"/>
      <c r="G452" s="56"/>
      <c r="H452" s="129"/>
      <c r="I452" s="43"/>
      <c r="J452" s="43"/>
      <c r="K452" s="43"/>
      <c r="L452" s="43"/>
      <c r="M452" s="43"/>
      <c r="O452" s="43"/>
      <c r="P452" s="57"/>
      <c r="Q452" s="43"/>
      <c r="R452" s="57"/>
      <c r="S452" s="19"/>
      <c r="T452" s="19"/>
      <c r="U452" s="58"/>
      <c r="V452" s="59" t="str">
        <f t="shared" si="77"/>
        <v/>
      </c>
      <c r="W452" s="60" t="str">
        <f t="shared" si="78"/>
        <v/>
      </c>
      <c r="X452" s="108"/>
      <c r="Y452" s="60"/>
      <c r="Z452" s="60"/>
      <c r="AA452" s="59"/>
      <c r="AB452" s="63"/>
      <c r="AC452" s="59"/>
      <c r="AD452" s="59"/>
      <c r="AE452" s="62"/>
    </row>
    <row r="453" spans="1:31" ht="50.1" customHeight="1" x14ac:dyDescent="0.25">
      <c r="A453" s="18"/>
      <c r="B453" s="43"/>
      <c r="C453" s="56"/>
      <c r="D453" s="56"/>
      <c r="E453" s="55"/>
      <c r="F453" s="55"/>
      <c r="G453" s="56"/>
      <c r="H453" s="129"/>
      <c r="I453" s="43"/>
      <c r="J453" s="43"/>
      <c r="K453" s="43"/>
      <c r="L453" s="43"/>
      <c r="M453" s="43"/>
      <c r="O453" s="43"/>
      <c r="P453" s="57"/>
      <c r="Q453" s="43"/>
      <c r="R453" s="57"/>
      <c r="S453" s="19"/>
      <c r="T453" s="19"/>
      <c r="U453" s="58"/>
      <c r="V453" s="59" t="str">
        <f t="shared" si="77"/>
        <v/>
      </c>
      <c r="W453" s="60" t="str">
        <f t="shared" si="78"/>
        <v/>
      </c>
      <c r="X453" s="108"/>
      <c r="Y453" s="60"/>
      <c r="Z453" s="60"/>
      <c r="AA453" s="59"/>
      <c r="AB453" s="63"/>
      <c r="AC453" s="59"/>
      <c r="AD453" s="59"/>
      <c r="AE453" s="62"/>
    </row>
    <row r="454" spans="1:31" ht="50.1" customHeight="1" x14ac:dyDescent="0.25">
      <c r="A454" s="18"/>
      <c r="B454" s="43"/>
      <c r="C454" s="56"/>
      <c r="D454" s="56"/>
      <c r="E454" s="55"/>
      <c r="F454" s="55"/>
      <c r="G454" s="56"/>
      <c r="H454" s="129"/>
      <c r="I454" s="43"/>
      <c r="J454" s="43"/>
      <c r="K454" s="43"/>
      <c r="L454" s="43"/>
      <c r="M454" s="43"/>
      <c r="O454" s="43"/>
      <c r="P454" s="57"/>
      <c r="Q454" s="43"/>
      <c r="R454" s="57"/>
      <c r="S454" s="19"/>
      <c r="T454" s="19"/>
      <c r="U454" s="58"/>
      <c r="V454" s="59" t="str">
        <f t="shared" si="77"/>
        <v/>
      </c>
      <c r="W454" s="60" t="str">
        <f t="shared" si="78"/>
        <v/>
      </c>
      <c r="X454" s="108"/>
      <c r="Y454" s="60"/>
      <c r="Z454" s="60"/>
      <c r="AA454" s="59"/>
      <c r="AB454" s="63"/>
      <c r="AC454" s="59"/>
      <c r="AD454" s="59"/>
      <c r="AE454" s="62"/>
    </row>
    <row r="455" spans="1:31" ht="50.1" customHeight="1" x14ac:dyDescent="0.25">
      <c r="A455" s="18"/>
      <c r="B455" s="43"/>
      <c r="C455" s="56"/>
      <c r="D455" s="56"/>
      <c r="E455" s="55"/>
      <c r="F455" s="55"/>
      <c r="G455" s="56"/>
      <c r="H455" s="129"/>
      <c r="I455" s="43"/>
      <c r="J455" s="43"/>
      <c r="K455" s="43"/>
      <c r="L455" s="43"/>
      <c r="M455" s="43"/>
      <c r="O455" s="43"/>
      <c r="P455" s="57"/>
      <c r="Q455" s="43"/>
      <c r="R455" s="57"/>
      <c r="S455" s="19"/>
      <c r="T455" s="19"/>
      <c r="U455" s="58"/>
      <c r="V455" s="59" t="str">
        <f t="shared" si="77"/>
        <v/>
      </c>
      <c r="W455" s="60" t="str">
        <f t="shared" si="78"/>
        <v/>
      </c>
      <c r="X455" s="108"/>
      <c r="Y455" s="60"/>
      <c r="Z455" s="60"/>
      <c r="AA455" s="59"/>
      <c r="AB455" s="63"/>
      <c r="AC455" s="59"/>
      <c r="AD455" s="59"/>
      <c r="AE455" s="62"/>
    </row>
    <row r="456" spans="1:31" ht="50.1" customHeight="1" x14ac:dyDescent="0.25">
      <c r="A456" s="18"/>
      <c r="B456" s="43"/>
      <c r="C456" s="56"/>
      <c r="D456" s="56"/>
      <c r="E456" s="55"/>
      <c r="F456" s="55"/>
      <c r="G456" s="56"/>
      <c r="H456" s="129"/>
      <c r="I456" s="43"/>
      <c r="J456" s="43"/>
      <c r="K456" s="43"/>
      <c r="L456" s="43"/>
      <c r="M456" s="43"/>
      <c r="O456" s="43"/>
      <c r="P456" s="57"/>
      <c r="Q456" s="43"/>
      <c r="R456" s="57"/>
      <c r="S456" s="19"/>
      <c r="T456" s="19"/>
      <c r="U456" s="58"/>
      <c r="V456" s="59" t="str">
        <f t="shared" si="77"/>
        <v/>
      </c>
      <c r="W456" s="60" t="str">
        <f t="shared" si="78"/>
        <v/>
      </c>
      <c r="X456" s="108"/>
      <c r="Y456" s="60"/>
      <c r="Z456" s="60"/>
      <c r="AA456" s="59"/>
      <c r="AB456" s="63"/>
      <c r="AC456" s="59"/>
      <c r="AD456" s="59"/>
      <c r="AE456" s="62"/>
    </row>
    <row r="457" spans="1:31" ht="50.1" customHeight="1" x14ac:dyDescent="0.25">
      <c r="A457" s="18"/>
      <c r="B457" s="43"/>
      <c r="C457" s="56"/>
      <c r="D457" s="56"/>
      <c r="E457" s="55"/>
      <c r="F457" s="55"/>
      <c r="G457" s="56"/>
      <c r="H457" s="129"/>
      <c r="I457" s="43"/>
      <c r="J457" s="43"/>
      <c r="K457" s="43"/>
      <c r="L457" s="43"/>
      <c r="M457" s="43"/>
      <c r="O457" s="43"/>
      <c r="P457" s="57"/>
      <c r="Q457" s="43"/>
      <c r="R457" s="57"/>
      <c r="S457" s="19"/>
      <c r="T457" s="19"/>
      <c r="U457" s="58"/>
      <c r="V457" s="59" t="str">
        <f t="shared" si="77"/>
        <v/>
      </c>
      <c r="W457" s="60" t="str">
        <f t="shared" si="78"/>
        <v/>
      </c>
      <c r="X457" s="108"/>
      <c r="Y457" s="60"/>
      <c r="Z457" s="60"/>
      <c r="AA457" s="59"/>
      <c r="AB457" s="63"/>
      <c r="AC457" s="59"/>
      <c r="AD457" s="59"/>
      <c r="AE457" s="62"/>
    </row>
    <row r="458" spans="1:31" ht="50.1" customHeight="1" x14ac:dyDescent="0.25">
      <c r="A458" s="18"/>
      <c r="B458" s="43"/>
      <c r="C458" s="56"/>
      <c r="D458" s="56"/>
      <c r="E458" s="55"/>
      <c r="F458" s="55"/>
      <c r="G458" s="56"/>
      <c r="H458" s="129"/>
      <c r="I458" s="43"/>
      <c r="J458" s="43"/>
      <c r="K458" s="43"/>
      <c r="L458" s="43"/>
      <c r="M458" s="43"/>
      <c r="O458" s="43"/>
      <c r="P458" s="57"/>
      <c r="Q458" s="43"/>
      <c r="R458" s="57"/>
      <c r="S458" s="19"/>
      <c r="T458" s="19"/>
      <c r="U458" s="58"/>
      <c r="V458" s="59" t="str">
        <f t="shared" si="77"/>
        <v/>
      </c>
      <c r="W458" s="60" t="str">
        <f t="shared" si="78"/>
        <v/>
      </c>
      <c r="X458" s="108"/>
      <c r="Y458" s="60"/>
      <c r="Z458" s="60"/>
      <c r="AA458" s="59"/>
      <c r="AB458" s="63"/>
      <c r="AC458" s="59"/>
      <c r="AD458" s="59"/>
      <c r="AE458" s="62"/>
    </row>
    <row r="459" spans="1:31" ht="50.1" customHeight="1" x14ac:dyDescent="0.25">
      <c r="A459" s="18"/>
      <c r="B459" s="43"/>
      <c r="C459" s="56"/>
      <c r="D459" s="56"/>
      <c r="E459" s="55"/>
      <c r="F459" s="55"/>
      <c r="G459" s="56"/>
      <c r="H459" s="129"/>
      <c r="I459" s="43"/>
      <c r="J459" s="43"/>
      <c r="K459" s="43"/>
      <c r="L459" s="43"/>
      <c r="M459" s="43"/>
      <c r="O459" s="43"/>
      <c r="P459" s="57"/>
      <c r="Q459" s="43"/>
      <c r="R459" s="57"/>
      <c r="S459" s="19"/>
      <c r="T459" s="19"/>
      <c r="U459" s="58"/>
      <c r="V459" s="59" t="str">
        <f t="shared" ref="V459:V476" si="79">IF((T459=""),"",IF((X459="Cerrada"),(U459-T459),IF((($AB$2-T459)&lt;=0),"-",($AB$2-T459))))</f>
        <v/>
      </c>
      <c r="W459" s="60" t="str">
        <f t="shared" si="78"/>
        <v/>
      </c>
      <c r="X459" s="108"/>
      <c r="Y459" s="60"/>
      <c r="Z459" s="60"/>
      <c r="AA459" s="59"/>
      <c r="AB459" s="63"/>
      <c r="AC459" s="59"/>
      <c r="AD459" s="59"/>
      <c r="AE459" s="62"/>
    </row>
    <row r="460" spans="1:31" ht="12.75" customHeight="1" x14ac:dyDescent="0.25">
      <c r="A460" s="18"/>
      <c r="B460" s="43"/>
      <c r="C460" s="56"/>
      <c r="D460" s="56"/>
      <c r="E460" s="55"/>
      <c r="F460" s="55"/>
      <c r="G460" s="56"/>
      <c r="H460" s="129"/>
      <c r="I460" s="43"/>
      <c r="J460" s="43"/>
      <c r="K460" s="43"/>
      <c r="L460" s="43"/>
      <c r="M460" s="43"/>
      <c r="O460" s="43"/>
      <c r="P460" s="57"/>
      <c r="Q460" s="43"/>
      <c r="R460" s="57"/>
      <c r="S460" s="19"/>
      <c r="T460" s="19"/>
      <c r="U460" s="58"/>
      <c r="V460" s="59" t="str">
        <f t="shared" si="79"/>
        <v/>
      </c>
      <c r="W460" s="60" t="str">
        <f t="shared" si="78"/>
        <v/>
      </c>
      <c r="X460" s="108"/>
      <c r="Y460" s="60"/>
      <c r="Z460" s="60"/>
      <c r="AA460" s="59"/>
      <c r="AB460" s="63"/>
      <c r="AC460" s="59"/>
      <c r="AD460" s="59"/>
      <c r="AE460" s="62"/>
    </row>
    <row r="461" spans="1:31" ht="12.75" customHeight="1" x14ac:dyDescent="0.25">
      <c r="A461" s="18"/>
      <c r="B461" s="43"/>
      <c r="C461" s="56"/>
      <c r="D461" s="56"/>
      <c r="E461" s="55"/>
      <c r="F461" s="55"/>
      <c r="G461" s="56"/>
      <c r="H461" s="129"/>
      <c r="I461" s="43"/>
      <c r="J461" s="43"/>
      <c r="K461" s="43"/>
      <c r="L461" s="43"/>
      <c r="M461" s="43"/>
      <c r="O461" s="43"/>
      <c r="P461" s="57"/>
      <c r="Q461" s="43"/>
      <c r="R461" s="57"/>
      <c r="S461" s="19"/>
      <c r="T461" s="19"/>
      <c r="U461" s="58"/>
      <c r="V461" s="59" t="str">
        <f t="shared" si="79"/>
        <v/>
      </c>
      <c r="W461" s="60" t="str">
        <f t="shared" si="78"/>
        <v/>
      </c>
      <c r="X461" s="108"/>
      <c r="Y461" s="60"/>
      <c r="Z461" s="60"/>
      <c r="AA461" s="59"/>
      <c r="AB461" s="63"/>
      <c r="AC461" s="59"/>
      <c r="AD461" s="59"/>
      <c r="AE461" s="62"/>
    </row>
    <row r="462" spans="1:31" ht="12.75" customHeight="1" x14ac:dyDescent="0.25">
      <c r="A462" s="18"/>
      <c r="B462" s="43"/>
      <c r="C462" s="56"/>
      <c r="D462" s="56"/>
      <c r="E462" s="55"/>
      <c r="F462" s="55"/>
      <c r="G462" s="56"/>
      <c r="H462" s="129"/>
      <c r="I462" s="43"/>
      <c r="J462" s="43"/>
      <c r="K462" s="43"/>
      <c r="L462" s="43"/>
      <c r="M462" s="43"/>
      <c r="O462" s="43"/>
      <c r="P462" s="57"/>
      <c r="Q462" s="43"/>
      <c r="R462" s="57"/>
      <c r="S462" s="19"/>
      <c r="T462" s="19"/>
      <c r="U462" s="58"/>
      <c r="V462" s="59" t="str">
        <f t="shared" si="79"/>
        <v/>
      </c>
      <c r="W462" s="60" t="str">
        <f t="shared" si="78"/>
        <v/>
      </c>
      <c r="X462" s="108"/>
      <c r="Y462" s="60"/>
      <c r="Z462" s="60"/>
      <c r="AA462" s="59"/>
      <c r="AB462" s="63"/>
      <c r="AC462" s="59"/>
      <c r="AD462" s="59"/>
      <c r="AE462" s="62"/>
    </row>
    <row r="463" spans="1:31" ht="12.75" customHeight="1" x14ac:dyDescent="0.25">
      <c r="A463" s="18"/>
      <c r="B463" s="43"/>
      <c r="C463" s="56"/>
      <c r="D463" s="56"/>
      <c r="E463" s="55"/>
      <c r="F463" s="55"/>
      <c r="G463" s="56"/>
      <c r="H463" s="129"/>
      <c r="I463" s="43"/>
      <c r="J463" s="43"/>
      <c r="K463" s="43"/>
      <c r="L463" s="43"/>
      <c r="M463" s="43"/>
      <c r="O463" s="43"/>
      <c r="P463" s="57"/>
      <c r="Q463" s="43"/>
      <c r="R463" s="57"/>
      <c r="S463" s="19"/>
      <c r="T463" s="19"/>
      <c r="U463" s="58"/>
      <c r="V463" s="59" t="str">
        <f t="shared" si="79"/>
        <v/>
      </c>
      <c r="W463" s="60" t="str">
        <f t="shared" si="78"/>
        <v/>
      </c>
      <c r="X463" s="108"/>
      <c r="Y463" s="60"/>
      <c r="Z463" s="60"/>
      <c r="AA463" s="59"/>
      <c r="AB463" s="63"/>
      <c r="AC463" s="59"/>
      <c r="AD463" s="59"/>
      <c r="AE463" s="62"/>
    </row>
    <row r="464" spans="1:31" ht="12.75" customHeight="1" x14ac:dyDescent="0.25">
      <c r="A464" s="18"/>
      <c r="B464" s="43"/>
      <c r="C464" s="56"/>
      <c r="D464" s="56"/>
      <c r="E464" s="55"/>
      <c r="F464" s="55"/>
      <c r="G464" s="56"/>
      <c r="H464" s="129"/>
      <c r="I464" s="43"/>
      <c r="J464" s="43"/>
      <c r="K464" s="43"/>
      <c r="L464" s="43"/>
      <c r="M464" s="43"/>
      <c r="O464" s="43"/>
      <c r="P464" s="57"/>
      <c r="Q464" s="43"/>
      <c r="R464" s="57"/>
      <c r="S464" s="19"/>
      <c r="T464" s="19"/>
      <c r="U464" s="58"/>
      <c r="V464" s="59" t="str">
        <f t="shared" si="79"/>
        <v/>
      </c>
      <c r="W464" s="60" t="str">
        <f t="shared" si="78"/>
        <v/>
      </c>
      <c r="X464" s="108"/>
      <c r="Y464" s="60"/>
      <c r="Z464" s="60"/>
      <c r="AA464" s="59"/>
      <c r="AB464" s="63"/>
      <c r="AC464" s="59"/>
      <c r="AD464" s="59"/>
      <c r="AE464" s="62"/>
    </row>
    <row r="465" spans="1:31" ht="12.75" customHeight="1" x14ac:dyDescent="0.25">
      <c r="A465" s="18"/>
      <c r="B465" s="43"/>
      <c r="C465" s="56"/>
      <c r="D465" s="56"/>
      <c r="E465" s="55"/>
      <c r="F465" s="55"/>
      <c r="G465" s="56"/>
      <c r="H465" s="129"/>
      <c r="I465" s="43"/>
      <c r="J465" s="43"/>
      <c r="K465" s="43"/>
      <c r="L465" s="43"/>
      <c r="M465" s="43"/>
      <c r="O465" s="43"/>
      <c r="P465" s="57"/>
      <c r="Q465" s="43"/>
      <c r="R465" s="57"/>
      <c r="S465" s="19"/>
      <c r="T465" s="19"/>
      <c r="U465" s="58"/>
      <c r="V465" s="59" t="str">
        <f t="shared" si="79"/>
        <v/>
      </c>
      <c r="W465" s="60" t="str">
        <f t="shared" si="78"/>
        <v/>
      </c>
      <c r="X465" s="108"/>
      <c r="Y465" s="60"/>
      <c r="Z465" s="60"/>
      <c r="AA465" s="59"/>
      <c r="AB465" s="63"/>
      <c r="AC465" s="59"/>
      <c r="AD465" s="59"/>
      <c r="AE465" s="62"/>
    </row>
    <row r="466" spans="1:31" ht="12.75" customHeight="1" x14ac:dyDescent="0.25">
      <c r="A466" s="18"/>
      <c r="B466" s="43"/>
      <c r="C466" s="56"/>
      <c r="D466" s="56"/>
      <c r="E466" s="55"/>
      <c r="F466" s="55"/>
      <c r="G466" s="56"/>
      <c r="H466" s="129"/>
      <c r="I466" s="43"/>
      <c r="J466" s="43"/>
      <c r="K466" s="43"/>
      <c r="L466" s="43"/>
      <c r="M466" s="43"/>
      <c r="O466" s="43"/>
      <c r="P466" s="57"/>
      <c r="Q466" s="43"/>
      <c r="R466" s="57"/>
      <c r="S466" s="19"/>
      <c r="T466" s="19"/>
      <c r="U466" s="58"/>
      <c r="V466" s="59" t="str">
        <f t="shared" si="79"/>
        <v/>
      </c>
      <c r="W466" s="60" t="str">
        <f t="shared" si="78"/>
        <v/>
      </c>
      <c r="X466" s="108"/>
      <c r="Y466" s="60"/>
      <c r="Z466" s="60"/>
      <c r="AA466" s="59"/>
      <c r="AB466" s="63"/>
      <c r="AC466" s="59"/>
      <c r="AD466" s="59"/>
      <c r="AE466" s="62"/>
    </row>
    <row r="467" spans="1:31" ht="12.75" customHeight="1" x14ac:dyDescent="0.25">
      <c r="A467" s="18"/>
      <c r="B467" s="43"/>
      <c r="C467" s="56"/>
      <c r="D467" s="56"/>
      <c r="E467" s="55"/>
      <c r="F467" s="55"/>
      <c r="G467" s="56"/>
      <c r="H467" s="129"/>
      <c r="I467" s="43"/>
      <c r="J467" s="43"/>
      <c r="K467" s="43"/>
      <c r="L467" s="43"/>
      <c r="M467" s="43"/>
      <c r="O467" s="43"/>
      <c r="P467" s="57"/>
      <c r="Q467" s="43"/>
      <c r="R467" s="57"/>
      <c r="S467" s="19"/>
      <c r="T467" s="19"/>
      <c r="U467" s="58"/>
      <c r="V467" s="59" t="str">
        <f t="shared" si="79"/>
        <v/>
      </c>
      <c r="W467" s="60" t="str">
        <f t="shared" si="78"/>
        <v/>
      </c>
      <c r="X467" s="108"/>
      <c r="Y467" s="60"/>
      <c r="Z467" s="60"/>
      <c r="AA467" s="59"/>
      <c r="AB467" s="63"/>
      <c r="AC467" s="59"/>
      <c r="AD467" s="59"/>
      <c r="AE467" s="62"/>
    </row>
    <row r="468" spans="1:31" ht="12.75" customHeight="1" x14ac:dyDescent="0.25">
      <c r="A468" s="18"/>
      <c r="B468" s="43"/>
      <c r="C468" s="56"/>
      <c r="D468" s="56"/>
      <c r="E468" s="55"/>
      <c r="F468" s="55"/>
      <c r="G468" s="56"/>
      <c r="H468" s="129"/>
      <c r="I468" s="43"/>
      <c r="J468" s="43"/>
      <c r="K468" s="43"/>
      <c r="L468" s="43"/>
      <c r="M468" s="43"/>
      <c r="O468" s="43"/>
      <c r="P468" s="57"/>
      <c r="Q468" s="43"/>
      <c r="R468" s="57"/>
      <c r="S468" s="19"/>
      <c r="T468" s="19"/>
      <c r="U468" s="58"/>
      <c r="V468" s="59" t="str">
        <f t="shared" si="79"/>
        <v/>
      </c>
      <c r="W468" s="60" t="str">
        <f t="shared" si="78"/>
        <v/>
      </c>
      <c r="X468" s="108"/>
      <c r="Y468" s="60"/>
      <c r="Z468" s="60"/>
      <c r="AA468" s="59"/>
      <c r="AB468" s="63"/>
      <c r="AC468" s="59"/>
      <c r="AD468" s="59"/>
      <c r="AE468" s="62"/>
    </row>
    <row r="469" spans="1:31" ht="12.75" customHeight="1" x14ac:dyDescent="0.25">
      <c r="A469" s="18"/>
      <c r="B469" s="43"/>
      <c r="C469" s="56"/>
      <c r="D469" s="56"/>
      <c r="E469" s="55"/>
      <c r="F469" s="55"/>
      <c r="G469" s="56"/>
      <c r="H469" s="129"/>
      <c r="I469" s="43"/>
      <c r="J469" s="43"/>
      <c r="K469" s="43"/>
      <c r="L469" s="43"/>
      <c r="M469" s="43"/>
      <c r="O469" s="43"/>
      <c r="P469" s="57"/>
      <c r="Q469" s="43"/>
      <c r="R469" s="57"/>
      <c r="S469" s="19"/>
      <c r="T469" s="19"/>
      <c r="U469" s="58"/>
      <c r="V469" s="59" t="str">
        <f t="shared" si="79"/>
        <v/>
      </c>
      <c r="W469" s="60" t="str">
        <f t="shared" si="78"/>
        <v/>
      </c>
      <c r="X469" s="108"/>
      <c r="Y469" s="60"/>
      <c r="Z469" s="60"/>
      <c r="AA469" s="59"/>
      <c r="AB469" s="63"/>
      <c r="AC469" s="59"/>
      <c r="AD469" s="59"/>
      <c r="AE469" s="62"/>
    </row>
    <row r="470" spans="1:31" ht="12.75" customHeight="1" x14ac:dyDescent="0.25">
      <c r="A470" s="18"/>
      <c r="B470" s="43"/>
      <c r="C470" s="56"/>
      <c r="D470" s="56"/>
      <c r="E470" s="55"/>
      <c r="F470" s="55"/>
      <c r="G470" s="56"/>
      <c r="H470" s="129"/>
      <c r="I470" s="43"/>
      <c r="J470" s="43"/>
      <c r="K470" s="43"/>
      <c r="L470" s="43"/>
      <c r="M470" s="43"/>
      <c r="O470" s="43"/>
      <c r="P470" s="57"/>
      <c r="Q470" s="43"/>
      <c r="R470" s="57"/>
      <c r="S470" s="19"/>
      <c r="T470" s="19"/>
      <c r="U470" s="58"/>
      <c r="V470" s="59" t="str">
        <f t="shared" si="79"/>
        <v/>
      </c>
      <c r="W470" s="60" t="str">
        <f t="shared" si="78"/>
        <v/>
      </c>
      <c r="X470" s="108"/>
      <c r="Y470" s="60"/>
      <c r="Z470" s="60"/>
      <c r="AA470" s="59"/>
      <c r="AB470" s="63"/>
      <c r="AC470" s="59"/>
      <c r="AD470" s="59"/>
      <c r="AE470" s="62"/>
    </row>
    <row r="471" spans="1:31" ht="12.75" customHeight="1" x14ac:dyDescent="0.25">
      <c r="A471" s="18"/>
      <c r="B471" s="43"/>
      <c r="C471" s="56"/>
      <c r="D471" s="56"/>
      <c r="E471" s="55"/>
      <c r="F471" s="55"/>
      <c r="G471" s="56"/>
      <c r="H471" s="129"/>
      <c r="I471" s="43"/>
      <c r="J471" s="43"/>
      <c r="K471" s="43"/>
      <c r="L471" s="43"/>
      <c r="M471" s="43"/>
      <c r="O471" s="43"/>
      <c r="P471" s="57"/>
      <c r="Q471" s="43"/>
      <c r="R471" s="57"/>
      <c r="S471" s="19"/>
      <c r="T471" s="19"/>
      <c r="U471" s="58"/>
      <c r="V471" s="59" t="str">
        <f t="shared" si="79"/>
        <v/>
      </c>
      <c r="W471" s="60" t="str">
        <f t="shared" si="78"/>
        <v/>
      </c>
      <c r="X471" s="108"/>
      <c r="Y471" s="60"/>
      <c r="Z471" s="60"/>
      <c r="AA471" s="59"/>
      <c r="AB471" s="63"/>
      <c r="AC471" s="59"/>
      <c r="AD471" s="59"/>
      <c r="AE471" s="62"/>
    </row>
    <row r="472" spans="1:31" ht="12.75" customHeight="1" x14ac:dyDescent="0.25">
      <c r="A472" s="18"/>
      <c r="B472" s="43"/>
      <c r="C472" s="56"/>
      <c r="D472" s="56"/>
      <c r="E472" s="55"/>
      <c r="F472" s="55"/>
      <c r="G472" s="56"/>
      <c r="H472" s="129"/>
      <c r="I472" s="43"/>
      <c r="J472" s="43"/>
      <c r="K472" s="43"/>
      <c r="L472" s="43"/>
      <c r="M472" s="43"/>
      <c r="O472" s="43"/>
      <c r="P472" s="57"/>
      <c r="Q472" s="43"/>
      <c r="R472" s="57"/>
      <c r="S472" s="19"/>
      <c r="T472" s="19"/>
      <c r="U472" s="58"/>
      <c r="V472" s="59" t="str">
        <f t="shared" si="79"/>
        <v/>
      </c>
      <c r="W472" s="60" t="str">
        <f t="shared" si="78"/>
        <v/>
      </c>
      <c r="X472" s="108"/>
      <c r="Y472" s="60"/>
      <c r="Z472" s="60"/>
      <c r="AA472" s="59"/>
      <c r="AB472" s="63"/>
      <c r="AC472" s="59"/>
      <c r="AD472" s="59"/>
      <c r="AE472" s="62"/>
    </row>
    <row r="473" spans="1:31" ht="12.75" customHeight="1" x14ac:dyDescent="0.25">
      <c r="A473" s="18"/>
      <c r="B473" s="43"/>
      <c r="C473" s="56"/>
      <c r="D473" s="56"/>
      <c r="E473" s="55"/>
      <c r="F473" s="55"/>
      <c r="G473" s="56"/>
      <c r="H473" s="129"/>
      <c r="I473" s="43"/>
      <c r="J473" s="43"/>
      <c r="K473" s="43"/>
      <c r="L473" s="43"/>
      <c r="M473" s="43"/>
      <c r="O473" s="43"/>
      <c r="P473" s="57"/>
      <c r="Q473" s="43"/>
      <c r="R473" s="57"/>
      <c r="S473" s="19"/>
      <c r="T473" s="19"/>
      <c r="U473" s="58"/>
      <c r="V473" s="59" t="str">
        <f t="shared" si="79"/>
        <v/>
      </c>
      <c r="W473" s="60" t="str">
        <f>IF((T473=""),"",IF((X473="Cerrada"),"Realizada",IF(OR((($AB$2-T473)=0),(($AB$2-T473)=-1),(($AB$2-T473)=-2),(($AB$2-T473)=-3)),"Tiempo Límite",IF((V473="-"),"En Proceso","Atrasada"))))</f>
        <v/>
      </c>
      <c r="X473" s="108"/>
      <c r="Y473" s="60"/>
      <c r="Z473" s="60"/>
      <c r="AA473" s="59"/>
      <c r="AB473" s="63"/>
      <c r="AC473" s="59"/>
      <c r="AD473" s="59"/>
      <c r="AE473" s="62"/>
    </row>
    <row r="474" spans="1:31" ht="12.75" customHeight="1" x14ac:dyDescent="0.25">
      <c r="A474" s="18"/>
      <c r="B474" s="43"/>
      <c r="C474" s="56"/>
      <c r="D474" s="56"/>
      <c r="E474" s="55"/>
      <c r="F474" s="55"/>
      <c r="G474" s="56"/>
      <c r="H474" s="129"/>
      <c r="I474" s="43"/>
      <c r="J474" s="43"/>
      <c r="K474" s="43"/>
      <c r="L474" s="43"/>
      <c r="M474" s="43"/>
      <c r="O474" s="43"/>
      <c r="P474" s="57"/>
      <c r="Q474" s="43"/>
      <c r="R474" s="57"/>
      <c r="S474" s="19"/>
      <c r="T474" s="19"/>
      <c r="U474" s="58"/>
      <c r="V474" s="59" t="str">
        <f t="shared" si="79"/>
        <v/>
      </c>
      <c r="W474" s="60" t="str">
        <f>IF((T474=""),"",IF((X474="Cerrada"),"Realizada",IF(OR((($AB$2-T474)=0),(($AB$2-T474)=-1),(($AB$2-T474)=-2),(($AB$2-T474)=-3)),"Tiempo Límite",IF((V474="-"),"En Proceso","Atrasada"))))</f>
        <v/>
      </c>
      <c r="X474" s="108"/>
      <c r="Y474" s="60"/>
      <c r="Z474" s="60"/>
      <c r="AA474" s="59"/>
      <c r="AB474" s="63"/>
      <c r="AC474" s="59"/>
      <c r="AD474" s="59"/>
      <c r="AE474" s="62"/>
    </row>
    <row r="475" spans="1:31" ht="12.75" customHeight="1" x14ac:dyDescent="0.25">
      <c r="A475" s="18"/>
      <c r="B475" s="43"/>
      <c r="C475" s="56"/>
      <c r="D475" s="56"/>
      <c r="E475" s="55"/>
      <c r="F475" s="55"/>
      <c r="G475" s="56"/>
      <c r="H475" s="129"/>
      <c r="I475" s="43"/>
      <c r="J475" s="43"/>
      <c r="K475" s="43"/>
      <c r="L475" s="43"/>
      <c r="M475" s="43"/>
      <c r="O475" s="43"/>
      <c r="P475" s="57"/>
      <c r="Q475" s="43"/>
      <c r="R475" s="57"/>
      <c r="S475" s="19"/>
      <c r="T475" s="19"/>
      <c r="U475" s="58"/>
      <c r="V475" s="59" t="str">
        <f t="shared" si="79"/>
        <v/>
      </c>
      <c r="W475" s="60" t="str">
        <f>IF((T475=""),"",IF((X475="Cerrada"),"Realizada",IF(OR((($AB$2-T475)=0),(($AB$2-T475)=-1),(($AB$2-T475)=-2),(($AB$2-T475)=-3)),"Tiempo Límite",IF((V475="-"),"En Proceso","Atrasada"))))</f>
        <v/>
      </c>
      <c r="X475" s="108"/>
      <c r="Y475" s="60"/>
      <c r="Z475" s="60"/>
      <c r="AA475" s="59"/>
      <c r="AB475" s="63"/>
      <c r="AC475" s="59"/>
      <c r="AD475" s="59"/>
      <c r="AE475" s="62"/>
    </row>
    <row r="476" spans="1:31" ht="12.75" customHeight="1" x14ac:dyDescent="0.25">
      <c r="A476" s="18"/>
      <c r="B476" s="43"/>
      <c r="C476" s="56"/>
      <c r="D476" s="56"/>
      <c r="E476" s="55"/>
      <c r="F476" s="55"/>
      <c r="G476" s="56"/>
      <c r="H476" s="129"/>
      <c r="I476" s="43"/>
      <c r="J476" s="43"/>
      <c r="K476" s="43"/>
      <c r="L476" s="43"/>
      <c r="M476" s="43"/>
      <c r="O476" s="43"/>
      <c r="P476" s="57"/>
      <c r="Q476" s="43"/>
      <c r="R476" s="57"/>
      <c r="S476" s="19"/>
      <c r="T476" s="19"/>
      <c r="U476" s="58"/>
      <c r="V476" s="59" t="str">
        <f t="shared" si="79"/>
        <v/>
      </c>
      <c r="W476" s="60" t="str">
        <f>IF((T476=""),"",IF((X476="Cerrada"),"Realizada",IF(OR((($AB$2-T476)=0),(($AB$2-T476)=-1),(($AB$2-T476)=-2),(($AB$2-T476)=-3)),"Tiempo Límite",IF((V476="-"),"En Proceso","Atrasada"))))</f>
        <v/>
      </c>
      <c r="X476" s="108"/>
      <c r="Y476" s="60"/>
      <c r="Z476" s="60"/>
      <c r="AA476" s="59"/>
      <c r="AB476" s="63"/>
      <c r="AC476" s="59"/>
      <c r="AD476" s="59"/>
      <c r="AE476" s="62"/>
    </row>
    <row r="477" spans="1:31" ht="12.75" customHeight="1" x14ac:dyDescent="0.25">
      <c r="A477" s="18"/>
      <c r="B477" s="43"/>
      <c r="C477" s="56"/>
      <c r="D477" s="56"/>
      <c r="E477" s="55"/>
      <c r="F477" s="55"/>
      <c r="G477" s="56"/>
      <c r="H477" s="129"/>
      <c r="I477" s="43"/>
      <c r="J477" s="43"/>
      <c r="K477" s="43"/>
      <c r="L477" s="43"/>
      <c r="M477" s="43"/>
      <c r="O477" s="43"/>
      <c r="P477" s="57"/>
      <c r="Q477" s="43"/>
      <c r="R477" s="57"/>
      <c r="S477" s="19"/>
      <c r="T477" s="19"/>
      <c r="U477" s="58"/>
      <c r="V477" s="59"/>
      <c r="W477" s="60"/>
      <c r="X477" s="108"/>
      <c r="Y477" s="60"/>
      <c r="Z477" s="60"/>
      <c r="AA477" s="59"/>
      <c r="AB477" s="63"/>
      <c r="AC477" s="59"/>
      <c r="AD477" s="59"/>
      <c r="AE477" s="62"/>
    </row>
  </sheetData>
  <phoneticPr fontId="21" type="noConversion"/>
  <conditionalFormatting sqref="H5:H409">
    <cfRule type="containsText" dxfId="18" priority="21" operator="containsText" text="ALTA">
      <formula>NOT(ISERROR(SEARCH("ALTA",H5)))</formula>
    </cfRule>
  </conditionalFormatting>
  <conditionalFormatting sqref="T5:T409">
    <cfRule type="cellIs" dxfId="17" priority="195" stopIfTrue="1" operator="lessThan">
      <formula>0</formula>
    </cfRule>
    <cfRule type="cellIs" dxfId="16" priority="196" stopIfTrue="1" operator="greaterThan">
      <formula>0</formula>
    </cfRule>
  </conditionalFormatting>
  <conditionalFormatting sqref="U5:U409">
    <cfRule type="containsText" dxfId="15" priority="197" operator="containsText" text="Realizada">
      <formula>NOT(ISERROR(SEARCH("Realizada",U5)))</formula>
    </cfRule>
    <cfRule type="containsText" dxfId="14" priority="198" operator="containsText" text="En Proceso">
      <formula>NOT(ISERROR(SEARCH("En Proceso",U5)))</formula>
    </cfRule>
    <cfRule type="containsText" dxfId="13" priority="199" operator="containsText" text="Atrasada">
      <formula>NOT(ISERROR(SEARCH("Atrasada",U5)))</formula>
    </cfRule>
  </conditionalFormatting>
  <conditionalFormatting sqref="U410:U477">
    <cfRule type="cellIs" dxfId="12" priority="227" stopIfTrue="1" operator="lessThan">
      <formula>0</formula>
    </cfRule>
    <cfRule type="cellIs" dxfId="11" priority="228" stopIfTrue="1" operator="greaterThan">
      <formula>0</formula>
    </cfRule>
  </conditionalFormatting>
  <conditionalFormatting sqref="V410:V477">
    <cfRule type="containsText" dxfId="10" priority="231" operator="containsText" text="Realizada">
      <formula>NOT(ISERROR(SEARCH("Realizada",V410)))</formula>
    </cfRule>
    <cfRule type="containsText" dxfId="9" priority="232" operator="containsText" text="En Proceso">
      <formula>NOT(ISERROR(SEARCH("En Proceso",V410)))</formula>
    </cfRule>
    <cfRule type="containsText" dxfId="8" priority="233" operator="containsText" text="Atrasada">
      <formula>NOT(ISERROR(SEARCH("Atrasada",V410)))</formula>
    </cfRule>
  </conditionalFormatting>
  <conditionalFormatting sqref="W5:W13 W120:W410">
    <cfRule type="dataBar" priority="20">
      <dataBar>
        <cfvo type="num" val="0"/>
        <cfvo type="num" val="1"/>
        <color rgb="FF00FF00"/>
      </dataBar>
      <extLst>
        <ext xmlns:x14="http://schemas.microsoft.com/office/spreadsheetml/2009/9/main" uri="{B025F937-C7B1-47D3-B67F-A62EFF666E3E}">
          <x14:id>{0EF83D6E-6080-4CB2-857B-ADC799DC8431}</x14:id>
        </ext>
      </extLst>
    </cfRule>
  </conditionalFormatting>
  <conditionalFormatting sqref="W14:W22">
    <cfRule type="dataBar" priority="12">
      <dataBar>
        <cfvo type="num" val="0"/>
        <cfvo type="num" val="1"/>
        <color rgb="FF00FF00"/>
      </dataBar>
      <extLst>
        <ext xmlns:x14="http://schemas.microsoft.com/office/spreadsheetml/2009/9/main" uri="{B025F937-C7B1-47D3-B67F-A62EFF666E3E}">
          <x14:id>{2744EAAF-27CA-4A30-9A62-01D2F43C11D6}</x14:id>
        </ext>
      </extLst>
    </cfRule>
  </conditionalFormatting>
  <conditionalFormatting sqref="W23:W30">
    <cfRule type="dataBar" priority="11">
      <dataBar>
        <cfvo type="num" val="0"/>
        <cfvo type="num" val="1"/>
        <color rgb="FF00FF00"/>
      </dataBar>
      <extLst>
        <ext xmlns:x14="http://schemas.microsoft.com/office/spreadsheetml/2009/9/main" uri="{B025F937-C7B1-47D3-B67F-A62EFF666E3E}">
          <x14:id>{6C3E7ABA-8DE8-4A42-AD03-AE259A117B38}</x14:id>
        </ext>
      </extLst>
    </cfRule>
  </conditionalFormatting>
  <conditionalFormatting sqref="W31:W37">
    <cfRule type="dataBar" priority="10">
      <dataBar>
        <cfvo type="num" val="0"/>
        <cfvo type="num" val="1"/>
        <color rgb="FF00FF00"/>
      </dataBar>
      <extLst>
        <ext xmlns:x14="http://schemas.microsoft.com/office/spreadsheetml/2009/9/main" uri="{B025F937-C7B1-47D3-B67F-A62EFF666E3E}">
          <x14:id>{7799E8A9-E8DD-4EA6-A41A-7174C2F84FD8}</x14:id>
        </ext>
      </extLst>
    </cfRule>
  </conditionalFormatting>
  <conditionalFormatting sqref="W38:W48">
    <cfRule type="dataBar" priority="9">
      <dataBar>
        <cfvo type="num" val="0"/>
        <cfvo type="num" val="1"/>
        <color rgb="FF00FF00"/>
      </dataBar>
      <extLst>
        <ext xmlns:x14="http://schemas.microsoft.com/office/spreadsheetml/2009/9/main" uri="{B025F937-C7B1-47D3-B67F-A62EFF666E3E}">
          <x14:id>{FBC0680B-8AF9-430D-8DBA-5DEF882A86F5}</x14:id>
        </ext>
      </extLst>
    </cfRule>
  </conditionalFormatting>
  <conditionalFormatting sqref="W49:W59">
    <cfRule type="dataBar" priority="8">
      <dataBar>
        <cfvo type="num" val="0"/>
        <cfvo type="num" val="1"/>
        <color rgb="FF00FF00"/>
      </dataBar>
      <extLst>
        <ext xmlns:x14="http://schemas.microsoft.com/office/spreadsheetml/2009/9/main" uri="{B025F937-C7B1-47D3-B67F-A62EFF666E3E}">
          <x14:id>{F72559DF-FF2F-44D0-9CDE-CD8534785F82}</x14:id>
        </ext>
      </extLst>
    </cfRule>
  </conditionalFormatting>
  <conditionalFormatting sqref="W60:W71">
    <cfRule type="dataBar" priority="7">
      <dataBar>
        <cfvo type="num" val="0"/>
        <cfvo type="num" val="1"/>
        <color rgb="FF00FF00"/>
      </dataBar>
      <extLst>
        <ext xmlns:x14="http://schemas.microsoft.com/office/spreadsheetml/2009/9/main" uri="{B025F937-C7B1-47D3-B67F-A62EFF666E3E}">
          <x14:id>{4C0E2ADB-E8C8-42D6-ABCB-AFFE039E8D7B}</x14:id>
        </ext>
      </extLst>
    </cfRule>
  </conditionalFormatting>
  <conditionalFormatting sqref="W72:W80">
    <cfRule type="dataBar" priority="6">
      <dataBar>
        <cfvo type="num" val="0"/>
        <cfvo type="num" val="1"/>
        <color rgb="FF00FF00"/>
      </dataBar>
      <extLst>
        <ext xmlns:x14="http://schemas.microsoft.com/office/spreadsheetml/2009/9/main" uri="{B025F937-C7B1-47D3-B67F-A62EFF666E3E}">
          <x14:id>{66D377CD-3825-4EA1-8CF5-66AC2498361C}</x14:id>
        </ext>
      </extLst>
    </cfRule>
  </conditionalFormatting>
  <conditionalFormatting sqref="W81:W91">
    <cfRule type="dataBar" priority="5">
      <dataBar>
        <cfvo type="num" val="0"/>
        <cfvo type="num" val="1"/>
        <color rgb="FF00FF00"/>
      </dataBar>
      <extLst>
        <ext xmlns:x14="http://schemas.microsoft.com/office/spreadsheetml/2009/9/main" uri="{B025F937-C7B1-47D3-B67F-A62EFF666E3E}">
          <x14:id>{A2E82540-7D87-4629-90DF-5B9CA41AB199}</x14:id>
        </ext>
      </extLst>
    </cfRule>
  </conditionalFormatting>
  <conditionalFormatting sqref="W92:W103">
    <cfRule type="dataBar" priority="4">
      <dataBar>
        <cfvo type="num" val="0"/>
        <cfvo type="num" val="1"/>
        <color rgb="FF00FF00"/>
      </dataBar>
      <extLst>
        <ext xmlns:x14="http://schemas.microsoft.com/office/spreadsheetml/2009/9/main" uri="{B025F937-C7B1-47D3-B67F-A62EFF666E3E}">
          <x14:id>{59C939BF-1871-4F27-947C-DA163B008D32}</x14:id>
        </ext>
      </extLst>
    </cfRule>
  </conditionalFormatting>
  <conditionalFormatting sqref="W104:W108">
    <cfRule type="dataBar" priority="3">
      <dataBar>
        <cfvo type="num" val="0"/>
        <cfvo type="num" val="1"/>
        <color rgb="FF00FF00"/>
      </dataBar>
      <extLst>
        <ext xmlns:x14="http://schemas.microsoft.com/office/spreadsheetml/2009/9/main" uri="{B025F937-C7B1-47D3-B67F-A62EFF666E3E}">
          <x14:id>{F87D1EAF-5664-4FA1-B915-AAD7396DDDFE}</x14:id>
        </ext>
      </extLst>
    </cfRule>
  </conditionalFormatting>
  <conditionalFormatting sqref="W109:W119">
    <cfRule type="dataBar" priority="2">
      <dataBar>
        <cfvo type="num" val="0"/>
        <cfvo type="num" val="1"/>
        <color rgb="FF00FF00"/>
      </dataBar>
      <extLst>
        <ext xmlns:x14="http://schemas.microsoft.com/office/spreadsheetml/2009/9/main" uri="{B025F937-C7B1-47D3-B67F-A62EFF666E3E}">
          <x14:id>{E1E94B37-6E50-4BAA-929B-B6A4F38D1D32}</x14:id>
        </ext>
      </extLst>
    </cfRule>
  </conditionalFormatting>
  <conditionalFormatting sqref="X410:X477">
    <cfRule type="dataBar" priority="279">
      <dataBar>
        <cfvo type="num" val="0"/>
        <cfvo type="num" val="1"/>
        <color rgb="FF00FF00"/>
      </dataBar>
      <extLst>
        <ext xmlns:x14="http://schemas.microsoft.com/office/spreadsheetml/2009/9/main" uri="{B025F937-C7B1-47D3-B67F-A62EFF666E3E}">
          <x14:id>{A4C44F0F-9E5F-45A9-8304-A01F41BB2C6B}</x14:id>
        </ext>
      </extLst>
    </cfRule>
  </conditionalFormatting>
  <conditionalFormatting sqref="AD5:AD409">
    <cfRule type="containsText" dxfId="7" priority="1" operator="containsText" text="Bloqueado">
      <formula>NOT(ISERROR(SEARCH("Bloqueado",AD5)))</formula>
    </cfRule>
    <cfRule type="containsText" dxfId="6" priority="13" operator="containsText" text="Atrasado">
      <formula>NOT(ISERROR(SEARCH("Atrasado",AD5)))</formula>
    </cfRule>
    <cfRule type="containsText" dxfId="5" priority="14" operator="containsText" text="Enviado para su Revición">
      <formula>NOT(ISERROR(SEARCH("Enviado para su Revición",AD5)))</formula>
    </cfRule>
    <cfRule type="containsText" dxfId="4" priority="15" operator="containsText" text="Recibido para su Revición">
      <formula>NOT(ISERROR(SEARCH("Recibido para su Revición",AD5)))</formula>
    </cfRule>
    <cfRule type="containsText" dxfId="3" priority="16" operator="containsText" text="Tiempo límite">
      <formula>NOT(ISERROR(SEARCH("Tiempo límite",AD5)))</formula>
    </cfRule>
    <cfRule type="containsText" dxfId="2" priority="17" operator="containsText" text="En Proceso">
      <formula>NOT(ISERROR(SEARCH("En Proceso",AD5)))</formula>
    </cfRule>
    <cfRule type="containsText" dxfId="1" priority="18" operator="containsText" text="Entregado Fuera de Plazo">
      <formula>NOT(ISERROR(SEARCH("Entregado Fuera de Plazo",AD5)))</formula>
    </cfRule>
    <cfRule type="containsText" dxfId="0" priority="19" operator="containsText" text="Entregado a Tiempo">
      <formula>NOT(ISERROR(SEARCH("Entregado a Tiempo",AD5)))</formula>
    </cfRule>
  </conditionalFormatting>
  <dataValidations count="3">
    <dataValidation type="list" allowBlank="1" showErrorMessage="1" errorTitle="Niveles de Acción" error="1=Corrección Inmediata_x000a_2=Acción Correctiva_x000a_3=Acción Preventiva" sqref="WWB982625 JP65121 TL65121 ADH65121 AND65121 AWZ65121 BGV65121 BQR65121 CAN65121 CKJ65121 CUF65121 DEB65121 DNX65121 DXT65121 EHP65121 ERL65121 FBH65121 FLD65121 FUZ65121 GEV65121 GOR65121 GYN65121 HIJ65121 HSF65121 ICB65121 ILX65121 IVT65121 JFP65121 JPL65121 JZH65121 KJD65121 KSZ65121 LCV65121 LMR65121 LWN65121 MGJ65121 MQF65121 NAB65121 NJX65121 NTT65121 ODP65121 ONL65121 OXH65121 PHD65121 PQZ65121 QAV65121 QKR65121 QUN65121 REJ65121 ROF65121 RYB65121 SHX65121 SRT65121 TBP65121 TLL65121 TVH65121 UFD65121 UOZ65121 UYV65121 VIR65121 VSN65121 WCJ65121 WMF65121 WWB65121 JP130657 TL130657 ADH130657 AND130657 AWZ130657 BGV130657 BQR130657 CAN130657 CKJ130657 CUF130657 DEB130657 DNX130657 DXT130657 EHP130657 ERL130657 FBH130657 FLD130657 FUZ130657 GEV130657 GOR130657 GYN130657 HIJ130657 HSF130657 ICB130657 ILX130657 IVT130657 JFP130657 JPL130657 JZH130657 KJD130657 KSZ130657 LCV130657 LMR130657 LWN130657 MGJ130657 MQF130657 NAB130657 NJX130657 NTT130657 ODP130657 ONL130657 OXH130657 PHD130657 PQZ130657 QAV130657 QKR130657 QUN130657 REJ130657 ROF130657 RYB130657 SHX130657 SRT130657 TBP130657 TLL130657 TVH130657 UFD130657 UOZ130657 UYV130657 VIR130657 VSN130657 WCJ130657 WMF130657 WWB130657 JP196193 TL196193 ADH196193 AND196193 AWZ196193 BGV196193 BQR196193 CAN196193 CKJ196193 CUF196193 DEB196193 DNX196193 DXT196193 EHP196193 ERL196193 FBH196193 FLD196193 FUZ196193 GEV196193 GOR196193 GYN196193 HIJ196193 HSF196193 ICB196193 ILX196193 IVT196193 JFP196193 JPL196193 JZH196193 KJD196193 KSZ196193 LCV196193 LMR196193 LWN196193 MGJ196193 MQF196193 NAB196193 NJX196193 NTT196193 ODP196193 ONL196193 OXH196193 PHD196193 PQZ196193 QAV196193 QKR196193 QUN196193 REJ196193 ROF196193 RYB196193 SHX196193 SRT196193 TBP196193 TLL196193 TVH196193 UFD196193 UOZ196193 UYV196193 VIR196193 VSN196193 WCJ196193 WMF196193 WWB196193 JP261729 TL261729 ADH261729 AND261729 AWZ261729 BGV261729 BQR261729 CAN261729 CKJ261729 CUF261729 DEB261729 DNX261729 DXT261729 EHP261729 ERL261729 FBH261729 FLD261729 FUZ261729 GEV261729 GOR261729 GYN261729 HIJ261729 HSF261729 ICB261729 ILX261729 IVT261729 JFP261729 JPL261729 JZH261729 KJD261729 KSZ261729 LCV261729 LMR261729 LWN261729 MGJ261729 MQF261729 NAB261729 NJX261729 NTT261729 ODP261729 ONL261729 OXH261729 PHD261729 PQZ261729 QAV261729 QKR261729 QUN261729 REJ261729 ROF261729 RYB261729 SHX261729 SRT261729 TBP261729 TLL261729 TVH261729 UFD261729 UOZ261729 UYV261729 VIR261729 VSN261729 WCJ261729 WMF261729 WWB261729 JP327265 TL327265 ADH327265 AND327265 AWZ327265 BGV327265 BQR327265 CAN327265 CKJ327265 CUF327265 DEB327265 DNX327265 DXT327265 EHP327265 ERL327265 FBH327265 FLD327265 FUZ327265 GEV327265 GOR327265 GYN327265 HIJ327265 HSF327265 ICB327265 ILX327265 IVT327265 JFP327265 JPL327265 JZH327265 KJD327265 KSZ327265 LCV327265 LMR327265 LWN327265 MGJ327265 MQF327265 NAB327265 NJX327265 NTT327265 ODP327265 ONL327265 OXH327265 PHD327265 PQZ327265 QAV327265 QKR327265 QUN327265 REJ327265 ROF327265 RYB327265 SHX327265 SRT327265 TBP327265 TLL327265 TVH327265 UFD327265 UOZ327265 UYV327265 VIR327265 VSN327265 WCJ327265 WMF327265 WWB327265 JP392801 TL392801 ADH392801 AND392801 AWZ392801 BGV392801 BQR392801 CAN392801 CKJ392801 CUF392801 DEB392801 DNX392801 DXT392801 EHP392801 ERL392801 FBH392801 FLD392801 FUZ392801 GEV392801 GOR392801 GYN392801 HIJ392801 HSF392801 ICB392801 ILX392801 IVT392801 JFP392801 JPL392801 JZH392801 KJD392801 KSZ392801 LCV392801 LMR392801 LWN392801 MGJ392801 MQF392801 NAB392801 NJX392801 NTT392801 ODP392801 ONL392801 OXH392801 PHD392801 PQZ392801 QAV392801 QKR392801 QUN392801 REJ392801 ROF392801 RYB392801 SHX392801 SRT392801 TBP392801 TLL392801 TVH392801 UFD392801 UOZ392801 UYV392801 VIR392801 VSN392801 WCJ392801 WMF392801 WWB392801 JP458337 TL458337 ADH458337 AND458337 AWZ458337 BGV458337 BQR458337 CAN458337 CKJ458337 CUF458337 DEB458337 DNX458337 DXT458337 EHP458337 ERL458337 FBH458337 FLD458337 FUZ458337 GEV458337 GOR458337 GYN458337 HIJ458337 HSF458337 ICB458337 ILX458337 IVT458337 JFP458337 JPL458337 JZH458337 KJD458337 KSZ458337 LCV458337 LMR458337 LWN458337 MGJ458337 MQF458337 NAB458337 NJX458337 NTT458337 ODP458337 ONL458337 OXH458337 PHD458337 PQZ458337 QAV458337 QKR458337 QUN458337 REJ458337 ROF458337 RYB458337 SHX458337 SRT458337 TBP458337 TLL458337 TVH458337 UFD458337 UOZ458337 UYV458337 VIR458337 VSN458337 WCJ458337 WMF458337 WWB458337 JP523873 TL523873 ADH523873 AND523873 AWZ523873 BGV523873 BQR523873 CAN523873 CKJ523873 CUF523873 DEB523873 DNX523873 DXT523873 EHP523873 ERL523873 FBH523873 FLD523873 FUZ523873 GEV523873 GOR523873 GYN523873 HIJ523873 HSF523873 ICB523873 ILX523873 IVT523873 JFP523873 JPL523873 JZH523873 KJD523873 KSZ523873 LCV523873 LMR523873 LWN523873 MGJ523873 MQF523873 NAB523873 NJX523873 NTT523873 ODP523873 ONL523873 OXH523873 PHD523873 PQZ523873 QAV523873 QKR523873 QUN523873 REJ523873 ROF523873 RYB523873 SHX523873 SRT523873 TBP523873 TLL523873 TVH523873 UFD523873 UOZ523873 UYV523873 VIR523873 VSN523873 WCJ523873 WMF523873 WWB523873 JP589409 TL589409 ADH589409 AND589409 AWZ589409 BGV589409 BQR589409 CAN589409 CKJ589409 CUF589409 DEB589409 DNX589409 DXT589409 EHP589409 ERL589409 FBH589409 FLD589409 FUZ589409 GEV589409 GOR589409 GYN589409 HIJ589409 HSF589409 ICB589409 ILX589409 IVT589409 JFP589409 JPL589409 JZH589409 KJD589409 KSZ589409 LCV589409 LMR589409 LWN589409 MGJ589409 MQF589409 NAB589409 NJX589409 NTT589409 ODP589409 ONL589409 OXH589409 PHD589409 PQZ589409 QAV589409 QKR589409 QUN589409 REJ589409 ROF589409 RYB589409 SHX589409 SRT589409 TBP589409 TLL589409 TVH589409 UFD589409 UOZ589409 UYV589409 VIR589409 VSN589409 WCJ589409 WMF589409 WWB589409 JP654945 TL654945 ADH654945 AND654945 AWZ654945 BGV654945 BQR654945 CAN654945 CKJ654945 CUF654945 DEB654945 DNX654945 DXT654945 EHP654945 ERL654945 FBH654945 FLD654945 FUZ654945 GEV654945 GOR654945 GYN654945 HIJ654945 HSF654945 ICB654945 ILX654945 IVT654945 JFP654945 JPL654945 JZH654945 KJD654945 KSZ654945 LCV654945 LMR654945 LWN654945 MGJ654945 MQF654945 NAB654945 NJX654945 NTT654945 ODP654945 ONL654945 OXH654945 PHD654945 PQZ654945 QAV654945 QKR654945 QUN654945 REJ654945 ROF654945 RYB654945 SHX654945 SRT654945 TBP654945 TLL654945 TVH654945 UFD654945 UOZ654945 UYV654945 VIR654945 VSN654945 WCJ654945 WMF654945 WWB654945 JP720481 TL720481 ADH720481 AND720481 AWZ720481 BGV720481 BQR720481 CAN720481 CKJ720481 CUF720481 DEB720481 DNX720481 DXT720481 EHP720481 ERL720481 FBH720481 FLD720481 FUZ720481 GEV720481 GOR720481 GYN720481 HIJ720481 HSF720481 ICB720481 ILX720481 IVT720481 JFP720481 JPL720481 JZH720481 KJD720481 KSZ720481 LCV720481 LMR720481 LWN720481 MGJ720481 MQF720481 NAB720481 NJX720481 NTT720481 ODP720481 ONL720481 OXH720481 PHD720481 PQZ720481 QAV720481 QKR720481 QUN720481 REJ720481 ROF720481 RYB720481 SHX720481 SRT720481 TBP720481 TLL720481 TVH720481 UFD720481 UOZ720481 UYV720481 VIR720481 VSN720481 WCJ720481 WMF720481 WWB720481 JP786017 TL786017 ADH786017 AND786017 AWZ786017 BGV786017 BQR786017 CAN786017 CKJ786017 CUF786017 DEB786017 DNX786017 DXT786017 EHP786017 ERL786017 FBH786017 FLD786017 FUZ786017 GEV786017 GOR786017 GYN786017 HIJ786017 HSF786017 ICB786017 ILX786017 IVT786017 JFP786017 JPL786017 JZH786017 KJD786017 KSZ786017 LCV786017 LMR786017 LWN786017 MGJ786017 MQF786017 NAB786017 NJX786017 NTT786017 ODP786017 ONL786017 OXH786017 PHD786017 PQZ786017 QAV786017 QKR786017 QUN786017 REJ786017 ROF786017 RYB786017 SHX786017 SRT786017 TBP786017 TLL786017 TVH786017 UFD786017 UOZ786017 UYV786017 VIR786017 VSN786017 WCJ786017 WMF786017 WWB786017 JP851553 TL851553 ADH851553 AND851553 AWZ851553 BGV851553 BQR851553 CAN851553 CKJ851553 CUF851553 DEB851553 DNX851553 DXT851553 EHP851553 ERL851553 FBH851553 FLD851553 FUZ851553 GEV851553 GOR851553 GYN851553 HIJ851553 HSF851553 ICB851553 ILX851553 IVT851553 JFP851553 JPL851553 JZH851553 KJD851553 KSZ851553 LCV851553 LMR851553 LWN851553 MGJ851553 MQF851553 NAB851553 NJX851553 NTT851553 ODP851553 ONL851553 OXH851553 PHD851553 PQZ851553 QAV851553 QKR851553 QUN851553 REJ851553 ROF851553 RYB851553 SHX851553 SRT851553 TBP851553 TLL851553 TVH851553 UFD851553 UOZ851553 UYV851553 VIR851553 VSN851553 WCJ851553 WMF851553 WWB851553 JP917089 TL917089 ADH917089 AND917089 AWZ917089 BGV917089 BQR917089 CAN917089 CKJ917089 CUF917089 DEB917089 DNX917089 DXT917089 EHP917089 ERL917089 FBH917089 FLD917089 FUZ917089 GEV917089 GOR917089 GYN917089 HIJ917089 HSF917089 ICB917089 ILX917089 IVT917089 JFP917089 JPL917089 JZH917089 KJD917089 KSZ917089 LCV917089 LMR917089 LWN917089 MGJ917089 MQF917089 NAB917089 NJX917089 NTT917089 ODP917089 ONL917089 OXH917089 PHD917089 PQZ917089 QAV917089 QKR917089 QUN917089 REJ917089 ROF917089 RYB917089 SHX917089 SRT917089 TBP917089 TLL917089 TVH917089 UFD917089 UOZ917089 UYV917089 VIR917089 VSN917089 WCJ917089 WMF917089 WWB917089 JP982625 TL982625 ADH982625 AND982625 AWZ982625 BGV982625 BQR982625 CAN982625 CKJ982625 CUF982625 DEB982625 DNX982625 DXT982625 EHP982625 ERL982625 FBH982625 FLD982625 FUZ982625 GEV982625 GOR982625 GYN982625 HIJ982625 HSF982625 ICB982625 ILX982625 IVT982625 JFP982625 JPL982625 JZH982625 KJD982625 KSZ982625 LCV982625 LMR982625 LWN982625 MGJ982625 MQF982625 NAB982625 NJX982625 NTT982625 ODP982625 ONL982625 OXH982625 PHD982625 PQZ982625 QAV982625 QKR982625 QUN982625 REJ982625 ROF982625 RYB982625 SHX982625 SRT982625 TBP982625 TLL982625 TVH982625 UFD982625 UOZ982625 UYV982625 VIR982625 VSN982625 WCJ982625 WMF982625" xr:uid="{00000000-0002-0000-0100-000000000000}">
      <formula1>$AW$1:$AW$1</formula1>
      <formula2>0</formula2>
    </dataValidation>
    <dataValidation type="list" allowBlank="1" showInputMessage="1" showErrorMessage="1" sqref="AC201 AA5:AA409" xr:uid="{00000000-0002-0000-0100-000001000000}">
      <formula1>Control</formula1>
    </dataValidation>
    <dataValidation type="list" allowBlank="1" showInputMessage="1" showErrorMessage="1" sqref="M5:M409" xr:uid="{00000000-0002-0000-0100-000002000000}">
      <formula1>Intervención</formula1>
    </dataValidation>
  </dataValidations>
  <hyperlinks>
    <hyperlink ref="AC19" r:id="rId1" xr:uid="{00000000-0004-0000-0100-000000000000}"/>
    <hyperlink ref="AC9" r:id="rId2" display="..\D) DSI-BPM-2024\ACD-BPM-2024\SG-ADM\GERARQUÍA DE DOCUMENTOS_2025\PR_2025\PR-Gestión y Adm Dcoumentaria de SST UTM 2025.pdf" xr:uid="{00000000-0004-0000-0100-000001000000}"/>
    <hyperlink ref="AC11" r:id="rId3" xr:uid="{00000000-0004-0000-0100-000002000000}"/>
    <hyperlink ref="AC10" r:id="rId4" xr:uid="{00000000-0004-0000-0100-000003000000}"/>
    <hyperlink ref="AC31" r:id="rId5" xr:uid="{00000000-0004-0000-0100-000004000000}"/>
    <hyperlink ref="AC25" r:id="rId6" display="C:\Users\User\Pictures\Gestipon ATH-2025\WhatsApp Image 2025-03-12 at 9.05.07 AM.jpeg" xr:uid="{00000000-0004-0000-0100-000005000000}"/>
    <hyperlink ref="AC111" r:id="rId7" xr:uid="{00000000-0004-0000-0100-000006000000}"/>
    <hyperlink ref="X137" r:id="rId8" xr:uid="{00000000-0004-0000-0100-000007000000}"/>
    <hyperlink ref="AC137" r:id="rId9" xr:uid="{00000000-0004-0000-0100-000008000000}"/>
    <hyperlink ref="AC138" r:id="rId10" xr:uid="{00000000-0004-0000-0100-000009000000}"/>
    <hyperlink ref="AC70" r:id="rId11" xr:uid="{00000000-0004-0000-0100-00000A000000}"/>
    <hyperlink ref="AC20" r:id="rId12" xr:uid="{00000000-0004-0000-0100-00000B000000}"/>
    <hyperlink ref="AC119" r:id="rId13" xr:uid="{00000000-0004-0000-0100-00000C000000}"/>
    <hyperlink ref="AC46" r:id="rId14" xr:uid="{00000000-0004-0000-0100-00000D000000}"/>
    <hyperlink ref="AC91" r:id="rId15" xr:uid="{00000000-0004-0000-0100-00000E000000}"/>
    <hyperlink ref="AC149" r:id="rId16" xr:uid="{00000000-0004-0000-0100-00000F000000}"/>
    <hyperlink ref="AC79" r:id="rId17" xr:uid="{00000000-0004-0000-0100-000010000000}"/>
    <hyperlink ref="AC155" r:id="rId18" xr:uid="{00000000-0004-0000-0100-000011000000}"/>
    <hyperlink ref="AC154" r:id="rId19" xr:uid="{00000000-0004-0000-0100-000012000000}"/>
    <hyperlink ref="AC162" r:id="rId20" xr:uid="{00000000-0004-0000-0100-000013000000}"/>
    <hyperlink ref="AC185" r:id="rId21" xr:uid="{00000000-0004-0000-0100-000014000000}"/>
    <hyperlink ref="AC181" r:id="rId22" xr:uid="{00000000-0004-0000-0100-000015000000}"/>
    <hyperlink ref="AC190" r:id="rId23" xr:uid="{00000000-0004-0000-0100-000016000000}"/>
    <hyperlink ref="AC201" r:id="rId24" xr:uid="{00000000-0004-0000-0100-000017000000}"/>
    <hyperlink ref="AC203" r:id="rId25" xr:uid="{00000000-0004-0000-0100-000018000000}"/>
    <hyperlink ref="AC217" r:id="rId26" xr:uid="{00000000-0004-0000-0100-000019000000}"/>
    <hyperlink ref="AC222" r:id="rId27" xr:uid="{00000000-0004-0000-0100-00001A000000}"/>
    <hyperlink ref="AC219" r:id="rId28" xr:uid="{00000000-0004-0000-0100-00001B000000}"/>
    <hyperlink ref="AC216" r:id="rId29" xr:uid="{00000000-0004-0000-0100-00001C000000}"/>
    <hyperlink ref="AC226" r:id="rId30" xr:uid="{00000000-0004-0000-0100-00001D000000}"/>
    <hyperlink ref="AC200" r:id="rId31" xr:uid="{00000000-0004-0000-0100-00001E000000}"/>
    <hyperlink ref="AC204" r:id="rId32" xr:uid="{00000000-0004-0000-0100-00001F000000}"/>
    <hyperlink ref="AC205" r:id="rId33" xr:uid="{00000000-0004-0000-0100-000020000000}"/>
    <hyperlink ref="AC206" r:id="rId34" xr:uid="{00000000-0004-0000-0100-000021000000}"/>
    <hyperlink ref="AC209" r:id="rId35" xr:uid="{00000000-0004-0000-0100-000022000000}"/>
    <hyperlink ref="AC211" r:id="rId36" xr:uid="{00000000-0004-0000-0100-000023000000}"/>
    <hyperlink ref="AC213" r:id="rId37" xr:uid="{00000000-0004-0000-0100-000024000000}"/>
    <hyperlink ref="AC214" r:id="rId38" xr:uid="{00000000-0004-0000-0100-000025000000}"/>
    <hyperlink ref="AC215" r:id="rId39" xr:uid="{00000000-0004-0000-0100-000026000000}"/>
    <hyperlink ref="AC220" r:id="rId40" xr:uid="{00000000-0004-0000-0100-000027000000}"/>
    <hyperlink ref="AC221" r:id="rId41" xr:uid="{00000000-0004-0000-0100-000028000000}"/>
    <hyperlink ref="AC223" r:id="rId42" display="..\ACD_09_OTROS\ACD_INFORMES\2025_INFORMES\INFORME N° 012 - INSPECCIÓN CEDI 106 TARAPACA.pdf" xr:uid="{00000000-0004-0000-0100-000029000000}"/>
    <hyperlink ref="AE223" r:id="rId43" xr:uid="{00000000-0004-0000-0100-00002A000000}"/>
    <hyperlink ref="AC224" r:id="rId44" xr:uid="{00000000-0004-0000-0100-00002B000000}"/>
    <hyperlink ref="AC229" r:id="rId45" xr:uid="{00000000-0004-0000-0100-00002C000000}"/>
    <hyperlink ref="AC233" r:id="rId46" xr:uid="{00000000-0004-0000-0100-00002D000000}"/>
    <hyperlink ref="AC202" r:id="rId47" xr:uid="{00000000-0004-0000-0100-00002E000000}"/>
    <hyperlink ref="AC208" r:id="rId48" xr:uid="{00000000-0004-0000-0100-00002F000000}"/>
    <hyperlink ref="AC218" r:id="rId49" xr:uid="{00000000-0004-0000-0100-000030000000}"/>
    <hyperlink ref="AC225" r:id="rId50" xr:uid="{00000000-0004-0000-0100-000031000000}"/>
    <hyperlink ref="AC228" r:id="rId51" xr:uid="{00000000-0004-0000-0100-000032000000}"/>
    <hyperlink ref="AC230" r:id="rId52" xr:uid="{00000000-0004-0000-0100-000033000000}"/>
    <hyperlink ref="AC234" r:id="rId53" xr:uid="{00000000-0004-0000-0100-000034000000}"/>
    <hyperlink ref="AC178" r:id="rId54" xr:uid="{00000000-0004-0000-0100-000035000000}"/>
    <hyperlink ref="AC248" r:id="rId55" xr:uid="{00000000-0004-0000-0100-000036000000}"/>
    <hyperlink ref="AC247" r:id="rId56" xr:uid="{00000000-0004-0000-0100-000037000000}"/>
    <hyperlink ref="AC310" r:id="rId57" xr:uid="{00000000-0004-0000-0100-000038000000}"/>
    <hyperlink ref="AC302" r:id="rId58" xr:uid="{00000000-0004-0000-0100-000039000000}"/>
    <hyperlink ref="AC303" r:id="rId59" xr:uid="{00000000-0004-0000-0100-00003A000000}"/>
    <hyperlink ref="AC312" r:id="rId60" xr:uid="{00000000-0004-0000-0100-00003B000000}"/>
    <hyperlink ref="AC314" r:id="rId61" xr:uid="{00000000-0004-0000-0100-00003C000000}"/>
    <hyperlink ref="AC315" r:id="rId62" xr:uid="{00000000-0004-0000-0100-00003D000000}"/>
    <hyperlink ref="AC318" r:id="rId63" xr:uid="{00000000-0004-0000-0100-00003E000000}"/>
    <hyperlink ref="AC319" r:id="rId64" xr:uid="{00000000-0004-0000-0100-00003F000000}"/>
    <hyperlink ref="AC320" r:id="rId65" xr:uid="{00000000-0004-0000-0100-000040000000}"/>
    <hyperlink ref="AC321" r:id="rId66" xr:uid="{00000000-0004-0000-0100-000041000000}"/>
    <hyperlink ref="AC323" r:id="rId67" xr:uid="{00000000-0004-0000-0100-000042000000}"/>
    <hyperlink ref="AC322" r:id="rId68" xr:uid="{00000000-0004-0000-0100-000043000000}"/>
    <hyperlink ref="AC324" r:id="rId69" xr:uid="{00000000-0004-0000-0100-000044000000}"/>
    <hyperlink ref="AC326" r:id="rId70" xr:uid="{00000000-0004-0000-0100-000045000000}"/>
    <hyperlink ref="AC309" r:id="rId71" xr:uid="{00000000-0004-0000-0100-000046000000}"/>
    <hyperlink ref="AC308" r:id="rId72" xr:uid="{00000000-0004-0000-0100-000047000000}"/>
    <hyperlink ref="AC307" r:id="rId73" xr:uid="{00000000-0004-0000-0100-000048000000}"/>
    <hyperlink ref="AC306" r:id="rId74" xr:uid="{00000000-0004-0000-0100-000049000000}"/>
    <hyperlink ref="AC301" r:id="rId75" xr:uid="{00000000-0004-0000-0100-00004A000000}"/>
    <hyperlink ref="AC300" r:id="rId76" xr:uid="{00000000-0004-0000-0100-00004B000000}"/>
    <hyperlink ref="AC299" r:id="rId77" xr:uid="{00000000-0004-0000-0100-00004C000000}"/>
    <hyperlink ref="AC298" r:id="rId78" xr:uid="{00000000-0004-0000-0100-00004D000000}"/>
    <hyperlink ref="AC295" r:id="rId79" xr:uid="{00000000-0004-0000-0100-00004E000000}"/>
    <hyperlink ref="AC334" r:id="rId80" xr:uid="{00000000-0004-0000-0100-00004F000000}"/>
    <hyperlink ref="AC311" r:id="rId81" xr:uid="{00000000-0004-0000-0100-000050000000}"/>
    <hyperlink ref="AC338" r:id="rId82" xr:uid="{00000000-0004-0000-0100-000051000000}"/>
    <hyperlink ref="AC329" r:id="rId83" xr:uid="{00000000-0004-0000-0100-000052000000}"/>
  </hyperlinks>
  <pageMargins left="0.23622047244094491" right="0.23622047244094491" top="0.68" bottom="0.51" header="0.31496062992125984" footer="0.31496062992125984"/>
  <pageSetup paperSize="9" scale="80" orientation="landscape" horizontalDpi="4294967293" verticalDpi="360" r:id="rId84"/>
  <drawing r:id="rId85"/>
  <tableParts count="1">
    <tablePart r:id="rId86"/>
  </tableParts>
  <extLst>
    <ext xmlns:x14="http://schemas.microsoft.com/office/spreadsheetml/2009/9/main" uri="{78C0D931-6437-407d-A8EE-F0AAD7539E65}">
      <x14:conditionalFormattings>
        <x14:conditionalFormatting xmlns:xm="http://schemas.microsoft.com/office/excel/2006/main">
          <x14:cfRule type="dataBar" id="{0EF83D6E-6080-4CB2-857B-ADC799DC8431}">
            <x14:dataBar minLength="0" maxLength="100" gradient="0" negativeBarColorSameAsPositive="1" axisPosition="none">
              <x14:cfvo type="num">
                <xm:f>0</xm:f>
              </x14:cfvo>
              <x14:cfvo type="num">
                <xm:f>1</xm:f>
              </x14:cfvo>
            </x14:dataBar>
          </x14:cfRule>
          <xm:sqref>W5:W13 W120:W410</xm:sqref>
        </x14:conditionalFormatting>
        <x14:conditionalFormatting xmlns:xm="http://schemas.microsoft.com/office/excel/2006/main">
          <x14:cfRule type="dataBar" id="{2744EAAF-27CA-4A30-9A62-01D2F43C11D6}">
            <x14:dataBar minLength="0" maxLength="100" gradient="0" negativeBarColorSameAsPositive="1" axisPosition="none">
              <x14:cfvo type="num">
                <xm:f>0</xm:f>
              </x14:cfvo>
              <x14:cfvo type="num">
                <xm:f>1</xm:f>
              </x14:cfvo>
            </x14:dataBar>
          </x14:cfRule>
          <xm:sqref>W14:W22</xm:sqref>
        </x14:conditionalFormatting>
        <x14:conditionalFormatting xmlns:xm="http://schemas.microsoft.com/office/excel/2006/main">
          <x14:cfRule type="dataBar" id="{6C3E7ABA-8DE8-4A42-AD03-AE259A117B38}">
            <x14:dataBar minLength="0" maxLength="100" gradient="0" negativeBarColorSameAsPositive="1" axisPosition="none">
              <x14:cfvo type="num">
                <xm:f>0</xm:f>
              </x14:cfvo>
              <x14:cfvo type="num">
                <xm:f>1</xm:f>
              </x14:cfvo>
            </x14:dataBar>
          </x14:cfRule>
          <xm:sqref>W23:W30</xm:sqref>
        </x14:conditionalFormatting>
        <x14:conditionalFormatting xmlns:xm="http://schemas.microsoft.com/office/excel/2006/main">
          <x14:cfRule type="dataBar" id="{7799E8A9-E8DD-4EA6-A41A-7174C2F84FD8}">
            <x14:dataBar minLength="0" maxLength="100" gradient="0" negativeBarColorSameAsPositive="1" axisPosition="none">
              <x14:cfvo type="num">
                <xm:f>0</xm:f>
              </x14:cfvo>
              <x14:cfvo type="num">
                <xm:f>1</xm:f>
              </x14:cfvo>
            </x14:dataBar>
          </x14:cfRule>
          <xm:sqref>W31:W37</xm:sqref>
        </x14:conditionalFormatting>
        <x14:conditionalFormatting xmlns:xm="http://schemas.microsoft.com/office/excel/2006/main">
          <x14:cfRule type="dataBar" id="{FBC0680B-8AF9-430D-8DBA-5DEF882A86F5}">
            <x14:dataBar minLength="0" maxLength="100" gradient="0" negativeBarColorSameAsPositive="1" axisPosition="none">
              <x14:cfvo type="num">
                <xm:f>0</xm:f>
              </x14:cfvo>
              <x14:cfvo type="num">
                <xm:f>1</xm:f>
              </x14:cfvo>
            </x14:dataBar>
          </x14:cfRule>
          <xm:sqref>W38:W48</xm:sqref>
        </x14:conditionalFormatting>
        <x14:conditionalFormatting xmlns:xm="http://schemas.microsoft.com/office/excel/2006/main">
          <x14:cfRule type="dataBar" id="{F72559DF-FF2F-44D0-9CDE-CD8534785F82}">
            <x14:dataBar minLength="0" maxLength="100" gradient="0" negativeBarColorSameAsPositive="1" axisPosition="none">
              <x14:cfvo type="num">
                <xm:f>0</xm:f>
              </x14:cfvo>
              <x14:cfvo type="num">
                <xm:f>1</xm:f>
              </x14:cfvo>
            </x14:dataBar>
          </x14:cfRule>
          <xm:sqref>W49:W59</xm:sqref>
        </x14:conditionalFormatting>
        <x14:conditionalFormatting xmlns:xm="http://schemas.microsoft.com/office/excel/2006/main">
          <x14:cfRule type="dataBar" id="{4C0E2ADB-E8C8-42D6-ABCB-AFFE039E8D7B}">
            <x14:dataBar minLength="0" maxLength="100" gradient="0" negativeBarColorSameAsPositive="1" axisPosition="none">
              <x14:cfvo type="num">
                <xm:f>0</xm:f>
              </x14:cfvo>
              <x14:cfvo type="num">
                <xm:f>1</xm:f>
              </x14:cfvo>
            </x14:dataBar>
          </x14:cfRule>
          <xm:sqref>W60:W71</xm:sqref>
        </x14:conditionalFormatting>
        <x14:conditionalFormatting xmlns:xm="http://schemas.microsoft.com/office/excel/2006/main">
          <x14:cfRule type="dataBar" id="{66D377CD-3825-4EA1-8CF5-66AC2498361C}">
            <x14:dataBar minLength="0" maxLength="100" gradient="0" negativeBarColorSameAsPositive="1" axisPosition="none">
              <x14:cfvo type="num">
                <xm:f>0</xm:f>
              </x14:cfvo>
              <x14:cfvo type="num">
                <xm:f>1</xm:f>
              </x14:cfvo>
            </x14:dataBar>
          </x14:cfRule>
          <xm:sqref>W72:W80</xm:sqref>
        </x14:conditionalFormatting>
        <x14:conditionalFormatting xmlns:xm="http://schemas.microsoft.com/office/excel/2006/main">
          <x14:cfRule type="dataBar" id="{A2E82540-7D87-4629-90DF-5B9CA41AB199}">
            <x14:dataBar minLength="0" maxLength="100" gradient="0" negativeBarColorSameAsPositive="1" axisPosition="none">
              <x14:cfvo type="num">
                <xm:f>0</xm:f>
              </x14:cfvo>
              <x14:cfvo type="num">
                <xm:f>1</xm:f>
              </x14:cfvo>
            </x14:dataBar>
          </x14:cfRule>
          <xm:sqref>W81:W91</xm:sqref>
        </x14:conditionalFormatting>
        <x14:conditionalFormatting xmlns:xm="http://schemas.microsoft.com/office/excel/2006/main">
          <x14:cfRule type="dataBar" id="{59C939BF-1871-4F27-947C-DA163B008D32}">
            <x14:dataBar minLength="0" maxLength="100" gradient="0" negativeBarColorSameAsPositive="1" axisPosition="none">
              <x14:cfvo type="num">
                <xm:f>0</xm:f>
              </x14:cfvo>
              <x14:cfvo type="num">
                <xm:f>1</xm:f>
              </x14:cfvo>
            </x14:dataBar>
          </x14:cfRule>
          <xm:sqref>W92:W103</xm:sqref>
        </x14:conditionalFormatting>
        <x14:conditionalFormatting xmlns:xm="http://schemas.microsoft.com/office/excel/2006/main">
          <x14:cfRule type="dataBar" id="{F87D1EAF-5664-4FA1-B915-AAD7396DDDFE}">
            <x14:dataBar minLength="0" maxLength="100" gradient="0" negativeBarColorSameAsPositive="1" axisPosition="none">
              <x14:cfvo type="num">
                <xm:f>0</xm:f>
              </x14:cfvo>
              <x14:cfvo type="num">
                <xm:f>1</xm:f>
              </x14:cfvo>
            </x14:dataBar>
          </x14:cfRule>
          <xm:sqref>W104:W108</xm:sqref>
        </x14:conditionalFormatting>
        <x14:conditionalFormatting xmlns:xm="http://schemas.microsoft.com/office/excel/2006/main">
          <x14:cfRule type="dataBar" id="{E1E94B37-6E50-4BAA-929B-B6A4F38D1D32}">
            <x14:dataBar minLength="0" maxLength="100" gradient="0" negativeBarColorSameAsPositive="1" axisPosition="none">
              <x14:cfvo type="num">
                <xm:f>0</xm:f>
              </x14:cfvo>
              <x14:cfvo type="num">
                <xm:f>1</xm:f>
              </x14:cfvo>
            </x14:dataBar>
          </x14:cfRule>
          <xm:sqref>W109:W119</xm:sqref>
        </x14:conditionalFormatting>
        <x14:conditionalFormatting xmlns:xm="http://schemas.microsoft.com/office/excel/2006/main">
          <x14:cfRule type="dataBar" id="{A4C44F0F-9E5F-45A9-8304-A01F41BB2C6B}">
            <x14:dataBar minLength="0" maxLength="100" gradient="0" negativeBarColorSameAsPositive="1" axisPosition="none">
              <x14:cfvo type="num">
                <xm:f>0</xm:f>
              </x14:cfvo>
              <x14:cfvo type="num">
                <xm:f>1</xm:f>
              </x14:cfvo>
            </x14:dataBar>
          </x14:cfRule>
          <xm:sqref>X410:X477</xm:sqref>
        </x14:conditionalFormatting>
      </x14:conditionalFormattings>
    </ext>
    <ext xmlns:x14="http://schemas.microsoft.com/office/spreadsheetml/2009/9/main" uri="{CCE6A557-97BC-4b89-ADB6-D9C93CAAB3DF}">
      <x14:dataValidations xmlns:xm="http://schemas.microsoft.com/office/excel/2006/main" count="8">
        <x14:dataValidation type="list" allowBlank="1" showInputMessage="1" showErrorMessage="1" xr:uid="{00000000-0002-0000-0100-000003000000}">
          <x14:formula1>
            <xm:f>VALOR!$S$3:$S$9</xm:f>
          </x14:formula1>
          <xm:sqref>L3 L5:L409</xm:sqref>
        </x14:dataValidation>
        <x14:dataValidation type="list" allowBlank="1" showInputMessage="1" showErrorMessage="1" xr:uid="{00000000-0002-0000-0100-000004000000}">
          <x14:formula1>
            <xm:f>VALOR!$P$3:$P$13</xm:f>
          </x14:formula1>
          <xm:sqref>Q5:Q409</xm:sqref>
        </x14:dataValidation>
        <x14:dataValidation type="list" allowBlank="1" showInputMessage="1" showErrorMessage="1" xr:uid="{00000000-0002-0000-0100-000005000000}">
          <x14:formula1>
            <xm:f>VALOR!$L$3:$L$8</xm:f>
          </x14:formula1>
          <xm:sqref>Y5:Y409</xm:sqref>
        </x14:dataValidation>
        <x14:dataValidation type="list" allowBlank="1" showInputMessage="1" showErrorMessage="1" xr:uid="{00000000-0002-0000-0100-000006000000}">
          <x14:formula1>
            <xm:f>VALOR!$N$3:$N$7</xm:f>
          </x14:formula1>
          <xm:sqref>J5:J409</xm:sqref>
        </x14:dataValidation>
        <x14:dataValidation type="list" allowBlank="1" showInputMessage="1" showErrorMessage="1" xr:uid="{00000000-0002-0000-0100-000007000000}">
          <x14:formula1>
            <xm:f>VALOR!$M$3:$M$8</xm:f>
          </x14:formula1>
          <xm:sqref>I5:I409</xm:sqref>
        </x14:dataValidation>
        <x14:dataValidation type="list" allowBlank="1" showInputMessage="1" showErrorMessage="1" xr:uid="{00000000-0002-0000-0100-000008000000}">
          <x14:formula1>
            <xm:f>VALOR!$R$3:$R$4</xm:f>
          </x14:formula1>
          <xm:sqref>O5:O409</xm:sqref>
        </x14:dataValidation>
        <x14:dataValidation type="list" allowBlank="1" showInputMessage="1" showErrorMessage="1" xr:uid="{00000000-0002-0000-0100-000009000000}">
          <x14:formula1>
            <xm:f>VALOR!$Z$3:$Z$10</xm:f>
          </x14:formula1>
          <xm:sqref>AD5:AD409</xm:sqref>
        </x14:dataValidation>
        <x14:dataValidation type="list" allowBlank="1" showInputMessage="1" showErrorMessage="1" xr:uid="{00000000-0002-0000-0100-00000A000000}">
          <x14:formula1>
            <xm:f>VALOR!$Q$3:$Q$10</xm:f>
          </x14:formula1>
          <xm:sqref>N5:N477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B57"/>
  <sheetViews>
    <sheetView topLeftCell="A32" workbookViewId="0">
      <selection activeCell="A2" sqref="A2:B57"/>
    </sheetView>
  </sheetViews>
  <sheetFormatPr baseColWidth="10" defaultRowHeight="14.4" x14ac:dyDescent="0.3"/>
  <cols>
    <col min="1" max="1" width="6" customWidth="1"/>
    <col min="2" max="2" width="89.44140625" customWidth="1"/>
  </cols>
  <sheetData>
    <row r="2" spans="1:2" x14ac:dyDescent="0.3">
      <c r="A2">
        <v>1</v>
      </c>
      <c r="B2" s="105" t="s">
        <v>955</v>
      </c>
    </row>
    <row r="3" spans="1:2" x14ac:dyDescent="0.3">
      <c r="A3">
        <v>2</v>
      </c>
      <c r="B3" s="106" t="s">
        <v>925</v>
      </c>
    </row>
    <row r="4" spans="1:2" x14ac:dyDescent="0.3">
      <c r="A4">
        <v>3</v>
      </c>
      <c r="B4" s="105" t="s">
        <v>939</v>
      </c>
    </row>
    <row r="5" spans="1:2" x14ac:dyDescent="0.3">
      <c r="A5">
        <v>4</v>
      </c>
      <c r="B5" s="106" t="s">
        <v>941</v>
      </c>
    </row>
    <row r="6" spans="1:2" x14ac:dyDescent="0.3">
      <c r="A6">
        <v>5</v>
      </c>
      <c r="B6" s="105" t="s">
        <v>942</v>
      </c>
    </row>
    <row r="7" spans="1:2" x14ac:dyDescent="0.3">
      <c r="A7">
        <v>6</v>
      </c>
      <c r="B7" s="106" t="s">
        <v>952</v>
      </c>
    </row>
    <row r="8" spans="1:2" x14ac:dyDescent="0.3">
      <c r="A8">
        <v>7</v>
      </c>
      <c r="B8" s="105" t="s">
        <v>946</v>
      </c>
    </row>
    <row r="9" spans="1:2" x14ac:dyDescent="0.3">
      <c r="A9">
        <v>8</v>
      </c>
      <c r="B9" s="106" t="s">
        <v>947</v>
      </c>
    </row>
    <row r="10" spans="1:2" x14ac:dyDescent="0.3">
      <c r="A10">
        <v>9</v>
      </c>
      <c r="B10" s="105" t="s">
        <v>948</v>
      </c>
    </row>
    <row r="11" spans="1:2" x14ac:dyDescent="0.3">
      <c r="A11">
        <v>10</v>
      </c>
      <c r="B11" s="106" t="s">
        <v>949</v>
      </c>
    </row>
    <row r="12" spans="1:2" x14ac:dyDescent="0.3">
      <c r="A12">
        <v>11</v>
      </c>
      <c r="B12" s="105" t="s">
        <v>950</v>
      </c>
    </row>
    <row r="13" spans="1:2" x14ac:dyDescent="0.3">
      <c r="A13">
        <v>12</v>
      </c>
      <c r="B13" s="106" t="s">
        <v>951</v>
      </c>
    </row>
    <row r="14" spans="1:2" x14ac:dyDescent="0.3">
      <c r="A14">
        <v>13</v>
      </c>
      <c r="B14" s="105" t="s">
        <v>953</v>
      </c>
    </row>
    <row r="15" spans="1:2" x14ac:dyDescent="0.3">
      <c r="A15">
        <v>14</v>
      </c>
      <c r="B15" s="106" t="s">
        <v>954</v>
      </c>
    </row>
    <row r="16" spans="1:2" x14ac:dyDescent="0.3">
      <c r="A16">
        <v>15</v>
      </c>
      <c r="B16" s="105" t="s">
        <v>956</v>
      </c>
    </row>
    <row r="17" spans="1:2" x14ac:dyDescent="0.3">
      <c r="A17">
        <v>16</v>
      </c>
      <c r="B17" s="106" t="s">
        <v>977</v>
      </c>
    </row>
    <row r="18" spans="1:2" x14ac:dyDescent="0.3">
      <c r="A18">
        <v>17</v>
      </c>
      <c r="B18" s="105" t="s">
        <v>957</v>
      </c>
    </row>
    <row r="19" spans="1:2" x14ac:dyDescent="0.3">
      <c r="A19">
        <v>18</v>
      </c>
      <c r="B19" s="106" t="s">
        <v>959</v>
      </c>
    </row>
    <row r="20" spans="1:2" x14ac:dyDescent="0.3">
      <c r="A20">
        <v>19</v>
      </c>
      <c r="B20" s="105" t="s">
        <v>980</v>
      </c>
    </row>
    <row r="21" spans="1:2" x14ac:dyDescent="0.3">
      <c r="A21">
        <v>20</v>
      </c>
      <c r="B21" s="106" t="s">
        <v>982</v>
      </c>
    </row>
    <row r="22" spans="1:2" x14ac:dyDescent="0.3">
      <c r="A22">
        <v>21</v>
      </c>
      <c r="B22" s="105" t="s">
        <v>984</v>
      </c>
    </row>
    <row r="23" spans="1:2" x14ac:dyDescent="0.3">
      <c r="A23">
        <v>22</v>
      </c>
      <c r="B23" s="106" t="s">
        <v>987</v>
      </c>
    </row>
    <row r="24" spans="1:2" x14ac:dyDescent="0.3">
      <c r="A24">
        <v>23</v>
      </c>
      <c r="B24" s="105" t="s">
        <v>988</v>
      </c>
    </row>
    <row r="25" spans="1:2" x14ac:dyDescent="0.3">
      <c r="A25">
        <v>24</v>
      </c>
      <c r="B25" s="106" t="s">
        <v>989</v>
      </c>
    </row>
    <row r="26" spans="1:2" x14ac:dyDescent="0.3">
      <c r="A26">
        <v>25</v>
      </c>
      <c r="B26" s="105" t="s">
        <v>990</v>
      </c>
    </row>
    <row r="27" spans="1:2" x14ac:dyDescent="0.3">
      <c r="A27">
        <v>26</v>
      </c>
      <c r="B27" s="106" t="s">
        <v>991</v>
      </c>
    </row>
    <row r="28" spans="1:2" x14ac:dyDescent="0.3">
      <c r="A28">
        <v>27</v>
      </c>
      <c r="B28" s="105" t="s">
        <v>993</v>
      </c>
    </row>
    <row r="29" spans="1:2" x14ac:dyDescent="0.3">
      <c r="A29">
        <v>28</v>
      </c>
      <c r="B29" s="106" t="s">
        <v>996</v>
      </c>
    </row>
    <row r="30" spans="1:2" x14ac:dyDescent="0.3">
      <c r="A30">
        <v>29</v>
      </c>
      <c r="B30" s="105" t="s">
        <v>997</v>
      </c>
    </row>
    <row r="31" spans="1:2" x14ac:dyDescent="0.3">
      <c r="A31">
        <v>30</v>
      </c>
      <c r="B31" s="106" t="s">
        <v>998</v>
      </c>
    </row>
    <row r="32" spans="1:2" x14ac:dyDescent="0.3">
      <c r="A32">
        <v>31</v>
      </c>
      <c r="B32" s="105" t="s">
        <v>1000</v>
      </c>
    </row>
    <row r="33" spans="1:2" x14ac:dyDescent="0.3">
      <c r="A33">
        <v>32</v>
      </c>
      <c r="B33" s="106" t="s">
        <v>1001</v>
      </c>
    </row>
    <row r="34" spans="1:2" x14ac:dyDescent="0.3">
      <c r="A34">
        <v>33</v>
      </c>
      <c r="B34" s="105" t="s">
        <v>1003</v>
      </c>
    </row>
    <row r="35" spans="1:2" x14ac:dyDescent="0.3">
      <c r="A35">
        <v>34</v>
      </c>
      <c r="B35" s="106" t="s">
        <v>1004</v>
      </c>
    </row>
    <row r="36" spans="1:2" x14ac:dyDescent="0.3">
      <c r="A36">
        <v>35</v>
      </c>
      <c r="B36" s="105" t="s">
        <v>1005</v>
      </c>
    </row>
    <row r="37" spans="1:2" x14ac:dyDescent="0.3">
      <c r="A37">
        <v>36</v>
      </c>
      <c r="B37" s="106" t="s">
        <v>1006</v>
      </c>
    </row>
    <row r="38" spans="1:2" x14ac:dyDescent="0.3">
      <c r="A38">
        <v>37</v>
      </c>
      <c r="B38" s="105" t="s">
        <v>1010</v>
      </c>
    </row>
    <row r="39" spans="1:2" x14ac:dyDescent="0.3">
      <c r="A39">
        <v>38</v>
      </c>
      <c r="B39" s="106" t="s">
        <v>1012</v>
      </c>
    </row>
    <row r="40" spans="1:2" x14ac:dyDescent="0.3">
      <c r="A40">
        <v>39</v>
      </c>
      <c r="B40" s="105" t="s">
        <v>1014</v>
      </c>
    </row>
    <row r="41" spans="1:2" x14ac:dyDescent="0.3">
      <c r="A41">
        <v>40</v>
      </c>
      <c r="B41" s="106" t="s">
        <v>1013</v>
      </c>
    </row>
    <row r="42" spans="1:2" x14ac:dyDescent="0.3">
      <c r="A42">
        <v>41</v>
      </c>
      <c r="B42" s="105" t="s">
        <v>1015</v>
      </c>
    </row>
    <row r="43" spans="1:2" x14ac:dyDescent="0.3">
      <c r="A43">
        <v>42</v>
      </c>
      <c r="B43" s="106" t="s">
        <v>1016</v>
      </c>
    </row>
    <row r="44" spans="1:2" x14ac:dyDescent="0.3">
      <c r="A44">
        <v>43</v>
      </c>
      <c r="B44" s="105" t="s">
        <v>1017</v>
      </c>
    </row>
    <row r="45" spans="1:2" x14ac:dyDescent="0.3">
      <c r="A45">
        <v>44</v>
      </c>
      <c r="B45" s="106" t="s">
        <v>1018</v>
      </c>
    </row>
    <row r="46" spans="1:2" x14ac:dyDescent="0.3">
      <c r="A46">
        <v>45</v>
      </c>
      <c r="B46" s="105" t="s">
        <v>1019</v>
      </c>
    </row>
    <row r="47" spans="1:2" x14ac:dyDescent="0.3">
      <c r="A47">
        <v>46</v>
      </c>
      <c r="B47" s="106" t="s">
        <v>1020</v>
      </c>
    </row>
    <row r="48" spans="1:2" x14ac:dyDescent="0.3">
      <c r="A48">
        <v>47</v>
      </c>
      <c r="B48" s="105" t="s">
        <v>1021</v>
      </c>
    </row>
    <row r="49" spans="1:2" x14ac:dyDescent="0.3">
      <c r="A49">
        <v>48</v>
      </c>
      <c r="B49" s="106" t="s">
        <v>1022</v>
      </c>
    </row>
    <row r="50" spans="1:2" x14ac:dyDescent="0.3">
      <c r="A50">
        <v>49</v>
      </c>
      <c r="B50" s="105" t="s">
        <v>1023</v>
      </c>
    </row>
    <row r="51" spans="1:2" x14ac:dyDescent="0.3">
      <c r="A51">
        <v>50</v>
      </c>
      <c r="B51" s="106" t="s">
        <v>1024</v>
      </c>
    </row>
    <row r="52" spans="1:2" x14ac:dyDescent="0.3">
      <c r="A52">
        <v>51</v>
      </c>
      <c r="B52" s="105" t="s">
        <v>1026</v>
      </c>
    </row>
    <row r="53" spans="1:2" x14ac:dyDescent="0.3">
      <c r="A53">
        <v>52</v>
      </c>
      <c r="B53" s="106" t="s">
        <v>1025</v>
      </c>
    </row>
    <row r="54" spans="1:2" x14ac:dyDescent="0.3">
      <c r="A54">
        <v>53</v>
      </c>
      <c r="B54" s="105" t="s">
        <v>930</v>
      </c>
    </row>
    <row r="55" spans="1:2" x14ac:dyDescent="0.3">
      <c r="A55">
        <v>54</v>
      </c>
      <c r="B55" s="106" t="s">
        <v>1028</v>
      </c>
    </row>
    <row r="56" spans="1:2" x14ac:dyDescent="0.3">
      <c r="A56">
        <v>55</v>
      </c>
      <c r="B56" s="105" t="s">
        <v>1029</v>
      </c>
    </row>
    <row r="57" spans="1:2" x14ac:dyDescent="0.3">
      <c r="A57">
        <v>56</v>
      </c>
      <c r="B57" s="106" t="s">
        <v>1030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C7B8281-0B1E-4297-94B9-D6F2F33E991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11</vt:i4>
      </vt:variant>
    </vt:vector>
  </HeadingPairs>
  <TitlesOfParts>
    <vt:vector size="14" baseType="lpstr">
      <vt:lpstr>VALOR</vt:lpstr>
      <vt:lpstr>GESTIÓN SCP</vt:lpstr>
      <vt:lpstr>Hoja1</vt:lpstr>
      <vt:lpstr>Control</vt:lpstr>
      <vt:lpstr>DIA</vt:lpstr>
      <vt:lpstr>DIE</vt:lpstr>
      <vt:lpstr>DIN</vt:lpstr>
      <vt:lpstr>Formato</vt:lpstr>
      <vt:lpstr>GG</vt:lpstr>
      <vt:lpstr>GO</vt:lpstr>
      <vt:lpstr>Intervención</vt:lpstr>
      <vt:lpstr>Proceso</vt:lpstr>
      <vt:lpstr>Servicio</vt:lpstr>
      <vt:lpstr>Tipo</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BPM</dc:title>
  <dc:creator>ASTRID</dc:creator>
  <cp:keywords>SVG</cp:keywords>
  <cp:lastModifiedBy>Jhanpool Flores</cp:lastModifiedBy>
  <cp:lastPrinted>2024-07-05T13:49:06Z</cp:lastPrinted>
  <dcterms:created xsi:type="dcterms:W3CDTF">2011-05-04T01:30:46Z</dcterms:created>
  <dcterms:modified xsi:type="dcterms:W3CDTF">2025-11-25T16:48:25Z</dcterms:modified>
</cp:coreProperties>
</file>